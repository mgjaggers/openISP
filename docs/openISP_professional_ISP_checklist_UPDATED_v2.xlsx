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x:workbook xmlns:ns2="http://schemas.libreoffice.org/" xmlns:r="http://schemas.openxmlformats.org/officeDocument/2006/relationships" xmlns:x="http://schemas.openxmlformats.org/spreadsheetml/2006/main">
  <x:fileVersion appName="Calc"/>
  <x:workbookPr backupFile="false" showObjects="all" date1904="false"/>
  <x:workbookProtection/>
  <x:bookViews>
    <x:workbookView showHorizontalScroll="true" showVerticalScroll="true" showSheetTabs="true" xWindow="0" yWindow="0" windowWidth="16384" windowHeight="8192" tabRatio="500" firstSheet="0" activeTab="0"/>
  </x:bookViews>
  <x:sheets>
    <x:sheet name="Checklist" sheetId="1" state="visible" r:id="rId3"/>
    <x:sheet name="Coverage Summary" sheetId="2" state="visible" r:id="rId4"/>
    <x:sheet name="Source Library" sheetId="3" state="visible" r:id="rId5"/>
    <x:sheet name="Read Me" sheetId="4" state="visible" r:id="rId6"/>
  </x:sheets>
  <x:calcPr iterateCount="100" refMode="A1" iterate="false" iterateDelta="0.0001" calcMode="auto" fullCalcOnLoad="1" forceFullCalc="1"/>
  <x:extLst>
    <x:ext uri="{7626C862-2A13-11E5-B345-FEFF819CDC9F}">
      <ns2:extCalcPr stringRefSyntax="CalcA1ExcelA1"/>
    </x:ext>
  </x:extLst>
</x:workbook>
</file>

<file path=xl/sharedStrings.xml><?xml version="1.0" encoding="utf-8"?>
<sst xmlns="http://schemas.openxmlformats.org/spreadsheetml/2006/main" count="4317" uniqueCount="1683">
  <si>
    <t xml:space="preserve">Professional Python ISP — Source-Backed Implementation Checklist</t>
  </si>
  <si>
    <t xml:space="preserve">151 auditable items against openISP commit d4947e1. IDs 1–117 are frozen; 7a and 79a are non-renumbering splits; new gaps are 118–149. Table, formulas, validation and conditional formatting reserve rows through 300.</t>
  </si>
  <si>
    <t xml:space="preserve">Status</t>
  </si>
  <si>
    <t xml:space="preserve">ID</t>
  </si>
  <si>
    <t xml:space="preserve">Category</t>
  </si>
  <si>
    <t xml:space="preserve">Scope</t>
  </si>
  <si>
    <t xml:space="preserve">Requirement level</t>
  </si>
  <si>
    <t xml:space="preserve">Applicability</t>
  </si>
  <si>
    <t xml:space="preserve">Priority</t>
  </si>
  <si>
    <t xml:space="preserve">Effort</t>
  </si>
  <si>
    <t xml:space="preserve">Capability</t>
  </si>
  <si>
    <t xml:space="preserve">Source fit</t>
  </si>
  <si>
    <t xml:space="preserve">Primary source</t>
  </si>
  <si>
    <t xml:space="preserve">Page / section</t>
  </si>
  <si>
    <t xml:space="preserve">Implementation checklist</t>
  </si>
  <si>
    <t xml:space="preserve">Acceptance criteria</t>
  </si>
  <si>
    <t xml:space="preserve">Verification method</t>
  </si>
  <si>
    <t xml:space="preserve">Dependencies</t>
  </si>
  <si>
    <t xml:space="preserve">Deliverable / module</t>
  </si>
  <si>
    <t xml:space="preserve">Primary URL</t>
  </si>
  <si>
    <t xml:space="preserve">Supplemental source</t>
  </si>
  <si>
    <t xml:space="preserve">Supp. page / section</t>
  </si>
  <si>
    <t xml:space="preserve">Supplemental URL</t>
  </si>
  <si>
    <t xml:space="preserve">Required artifact</t>
  </si>
  <si>
    <t xml:space="preserve">IP / license status</t>
  </si>
  <si>
    <t xml:space="preserve">Owner</t>
  </si>
  <si>
    <t xml:space="preserve">Target milestone</t>
  </si>
  <si>
    <t xml:space="preserve">Notes</t>
  </si>
  <si>
    <t xml:space="preserve">Not started</t>
  </si>
  <si>
    <t xml:space="preserve">1</t>
  </si>
  <si>
    <t xml:space="preserve">1. RAW front end</t>
  </si>
  <si>
    <t xml:space="preserve">1. Core ISP algorithms</t>
  </si>
  <si>
    <t xml:space="preserve">Core</t>
  </si>
  <si>
    <t xml:space="preserve">All configurations unless marked optional or sensor-specific</t>
  </si>
  <si>
    <t xml:space="preserve">P0</t>
  </si>
  <si>
    <t xml:space="preserve">M</t>
  </si>
  <si>
    <t xml:space="preserve">RAW bit-depth normalization and white-level handling</t>
  </si>
  <si>
    <t xml:space="preserve">Direct</t>
  </si>
  <si>
    <t xml:space="preserve">S02 — Digital Negative (DNG) Specification 1.7.1.0</t>
  </si>
  <si>
    <t xml:space="preserve">pp. 29, 99</t>
  </si>
  <si>
    <t xml:space="preserve">Read WhiteLevel per channel/CFA plane, subtract black, scale active signal to a common linear working range, and clip only after normalization.</t>
  </si>
  <si>
    <t xml:space="preserve">Automated tests and representative RAW fixtures demonstrate raw bit-depth normalization and white-level handling across declared modes, with documented tolerances and no regression in adjacent stages.</t>
  </si>
  <si>
    <t xml:space="preserve">Unit tests plus fixed RAW/image regression fixtures; record configuration, metrics and artifacts.</t>
  </si>
  <si>
    <t xml:space="preserve">Python module, typed configuration and tests for raw bit-depth normalization and white-level handling</t>
  </si>
  <si>
    <t xml:space="preserve">https://helpx.adobe.com/content/dam/help/en/camera-raw/digital-negative/jcr_content/root/content/flex/items/position/position-par/download_section_733958301/download-1/DNG_Spec_1_7_1_0.pdf</t>
  </si>
  <si>
    <t xml:space="preserve">None</t>
  </si>
  <si>
    <t xml:space="preserve">Source/provenance review required before commercial release</t>
  </si>
  <si>
    <t xml:space="preserve">2</t>
  </si>
  <si>
    <t xml:space="preserve">Sensor linearization</t>
  </si>
  <si>
    <t xml:space="preserve">pp. 27, 99</t>
  </si>
  <si>
    <t xml:space="preserve">Apply LinearizationTable before black subtraction/rescaling. Preserve enough precision for later color and HDR work.</t>
  </si>
  <si>
    <t xml:space="preserve">Automated tests and representative RAW fixtures demonstrate sensor linearization across declared modes, with documented tolerances and no regression in adjacent stages.</t>
  </si>
  <si>
    <t xml:space="preserve">Python module, typed configuration and tests for sensor linearization</t>
  </si>
  <si>
    <t xml:space="preserve">3</t>
  </si>
  <si>
    <t xml:space="preserve">Companding/decompanding</t>
  </si>
  <si>
    <t xml:space="preserve">pp. 113–114</t>
  </si>
  <si>
    <t xml:space="preserve">Represent the inverse sensor transfer with MapTable or MapPolynomial opcodes; apply it before operations that assume scene-linear values.</t>
  </si>
  <si>
    <t xml:space="preserve">Automated tests and representative RAW fixtures demonstrate companding/decompanding across declared modes, with documented tolerances and no regression in adjacent stages.</t>
  </si>
  <si>
    <t xml:space="preserve">Python module, typed configuration and tests for companding/decompanding</t>
  </si>
  <si>
    <t xml:space="preserve">4</t>
  </si>
  <si>
    <t xml:space="preserve">Optical-black-region processing</t>
  </si>
  <si>
    <t xml:space="preserve">S03 — V4L2 RKISP1 parameters and 3A statistics</t>
  </si>
  <si>
    <t xml:space="preserve">rkisp1_cif_isp_bls_config</t>
  </si>
  <si>
    <t xml:space="preserve">Measure the masked/optical-black windows per Bayer position and subtract their means; retain fixed offsets as a fallback.</t>
  </si>
  <si>
    <t xml:space="preserve">Automated tests and representative RAW fixtures demonstrate optical-black-region processing across declared modes, with documented tolerances and no regression in adjacent stages.</t>
  </si>
  <si>
    <t xml:space="preserve">Python module, typed configuration and tests for optical-black-region processing</t>
  </si>
  <si>
    <t xml:space="preserve">https://docs.kernel.org/userspace-api/media/v4l/metafmt-rkisp1.html#:~:text=Automatic%20mode%20activated%20means%20that%20the%20measured%20values%20are%20subtracted</t>
  </si>
  <si>
    <t xml:space="preserve">p. 44 (MaskedAreas)</t>
  </si>
  <si>
    <t xml:space="preserve">5</t>
  </si>
  <si>
    <t xml:space="preserve">Row/column fixed-pattern noise correction</t>
  </si>
  <si>
    <t xml:space="preserve">pp. 116–119</t>
  </si>
  <si>
    <t xml:space="preserve">Estimate row/column offsets or gains from dark/flat stacks and apply DeltaPerRow/Column or ScalePerRow/Column equivalents before demosaic.</t>
  </si>
  <si>
    <t xml:space="preserve">Automated tests and representative RAW fixtures demonstrate row/column fixed-pattern noise correction across declared modes, with documented tolerances and no regression in adjacent stages.</t>
  </si>
  <si>
    <t xml:space="preserve">Python module, typed configuration and tests for row/column fixed-pattern noise correction</t>
  </si>
  <si>
    <t xml:space="preserve">S21 — EMVA Standard 1288 Release 3.0</t>
  </si>
  <si>
    <t xml:space="preserve">pp. 21–25 (DSNU/PRNU methods)</t>
  </si>
  <si>
    <t xml:space="preserve">https://www.emva.org/wp-content/uploads/EMVA1288-3.0.pdf</t>
  </si>
  <si>
    <t xml:space="preserve">6</t>
  </si>
  <si>
    <t xml:space="preserve">Green-channel imbalance/equalization</t>
  </si>
  <si>
    <t xml:space="preserve">S01 — Camera Algorithm and Tuning Guide</t>
  </si>
  <si>
    <t xml:space="preserve">pp. 22–23</t>
  </si>
  <si>
    <t xml:space="preserve">Estimate the Gr/Gb imbalance versus signal/lux; low-pass only the imbalance component and make strength lux-dependent to avoid unnecessary blur.</t>
  </si>
  <si>
    <t xml:space="preserve">Automated tests and representative RAW fixtures demonstrate green-channel imbalance/equalization across declared modes, with documented tolerances and no regression in adjacent stages.</t>
  </si>
  <si>
    <t xml:space="preserve">Python module, typed configuration and tests for green-channel imbalance/equalization</t>
  </si>
  <si>
    <t xml:space="preserve">https://datasheets.raspberrypi.com/camera/raspberry-pi-camera-guide.pdf</t>
  </si>
  <si>
    <t xml:space="preserve">7</t>
  </si>
  <si>
    <t xml:space="preserve">Lens-shading correction</t>
  </si>
  <si>
    <t xml:space="preserve">pp. 37–41</t>
  </si>
  <si>
    <t xml:space="preserve">Use calibrated per-channel gain grids and spatial interpolation in sensor coordinates; bound gains and verify residual flat-field uniformity.</t>
  </si>
  <si>
    <t xml:space="preserve">Automated tests and representative RAW fixtures demonstrate lens-shading correction across declared modes, with documented tolerances and no regression in adjacent stages.</t>
  </si>
  <si>
    <t xml:space="preserve">Python module, typed configuration and tests for lens-shading correction</t>
  </si>
  <si>
    <t xml:space="preserve">p. 115 (GainMap)</t>
  </si>
  <si>
    <t xml:space="preserve">7a</t>
  </si>
  <si>
    <t xml:space="preserve">2. Sensor and lens integration</t>
  </si>
  <si>
    <t xml:space="preserve">Per sensor/lens module when colour shading varies with illuminant, CRA, focus or zoom</t>
  </si>
  <si>
    <t xml:space="preserve">L</t>
  </si>
  <si>
    <t xml:space="preserve">CCT/CRA-dependent color-shading correction</t>
  </si>
  <si>
    <t xml:space="preserve">Interpolate calibrated color-shading tables across illuminant/CCT and, where required, chief-ray angle or lens state; normalize luminance and colour components separately so flat-field chromaticity remains stable.</t>
  </si>
  <si>
    <t xml:space="preserve">Across the calibrated CCT/lens grid and interpolation midpoints, a uniform target meets the product's center-to-corner luminance and chromaticity-error limits without double-counting item 7.</t>
  </si>
  <si>
    <t xml:space="preserve">Uniform-field captures at every calibration node plus withheld CCT/lens-state interpolation points; report per-channel residual maps.</t>
  </si>
  <si>
    <t xml:space="preserve">7, 24</t>
  </si>
  <si>
    <t xml:space="preserve">Python module, typed configuration and tests for cct/cra-dependent color-shading correction</t>
  </si>
  <si>
    <t xml:space="preserve">8</t>
  </si>
  <si>
    <t xml:space="preserve">Static sensor defect-map support</t>
  </si>
  <si>
    <t xml:space="preserve">p. 112</t>
  </si>
  <si>
    <t xml:space="preserve">Store known bad coordinates and interpolate them with a FixBadPixelsList-style operation; combine the static map with adaptive DPC.</t>
  </si>
  <si>
    <t xml:space="preserve">Automated tests and representative RAW fixtures demonstrate static sensor defect-map support across declared modes, with documented tolerances and no regression in adjacent stages.</t>
  </si>
  <si>
    <t xml:space="preserve">Python module, typed configuration and tests for static sensor defect-map support</t>
  </si>
  <si>
    <t xml:space="preserve">pp. 25–27</t>
  </si>
  <si>
    <t xml:space="preserve">9</t>
  </si>
  <si>
    <t xml:space="preserve">Optional</t>
  </si>
  <si>
    <t xml:space="preserve">P2</t>
  </si>
  <si>
    <t xml:space="preserve">PDAF masked-pixel correction, if applicable</t>
  </si>
  <si>
    <t xml:space="preserve">Sensor-specific</t>
  </si>
  <si>
    <t xml:space="preserve">Treat the sensor's PDAF/occluded sites as an explicit coordinate list and reconstruct them before demosaic; the exact map and grouping must come from the sensor vendor.</t>
  </si>
  <si>
    <t xml:space="preserve">Automated tests and representative RAW fixtures demonstrate pdaf masked-pixel correction, if applicable across declared modes, with documented tolerances and no regression in adjacent stages.</t>
  </si>
  <si>
    <t xml:space="preserve">Python module, typed configuration and tests for pdaf masked-pixel correction, if applicable</t>
  </si>
  <si>
    <t xml:space="preserve">pp. 45–47 (PDAF AF context)</t>
  </si>
  <si>
    <t xml:space="preserve">10</t>
  </si>
  <si>
    <t xml:space="preserve">Gain/exposure-dependent sensor noise model</t>
  </si>
  <si>
    <t xml:space="preserve">p. 21</t>
  </si>
  <si>
    <t xml:space="preserve">Calibrate slope/offset on reference captures, then adjust the profile by analog gain and sensor mode for every frame.</t>
  </si>
  <si>
    <t xml:space="preserve">Automated tests and representative RAW fixtures demonstrate gain/exposure-dependent sensor noise model across declared modes, with documented tolerances and no regression in adjacent stages.</t>
  </si>
  <si>
    <t xml:space="preserve">Python module, typed configuration and tests for gain/exposure-dependent sensor noise model</t>
  </si>
  <si>
    <t xml:space="preserve">pp. 12–16</t>
  </si>
  <si>
    <t xml:space="preserve">11</t>
  </si>
  <si>
    <t xml:space="preserve">2. Image statistics</t>
  </si>
  <si>
    <t xml:space="preserve">Bayer/RGB histogram</t>
  </si>
  <si>
    <t xml:space="preserve">§2.13.9.2</t>
  </si>
  <si>
    <t xml:space="preserve">Accumulate a bounded histogram from the Bayer frame or selected RGB/luma domain and publish it with the frame's statistics metadata.</t>
  </si>
  <si>
    <t xml:space="preserve">Automated tests and representative RAW fixtures demonstrate bayer/rgb histogram across declared modes, with documented tolerances and no regression in adjacent stages.</t>
  </si>
  <si>
    <t xml:space="preserve">Python module, typed configuration and tests for bayer/rgb histogram</t>
  </si>
  <si>
    <t xml:space="preserve">https://docs.kernel.org/userspace-api/media/v4l/metafmt-rkisp1.html#:~:text=The%20statistics%20collected%20are%20Exposure</t>
  </si>
  <si>
    <t xml:space="preserve">12</t>
  </si>
  <si>
    <t xml:space="preserve">Regional exposure statistics</t>
  </si>
  <si>
    <t xml:space="preserve">rkisp1_cif_isp_window</t>
  </si>
  <si>
    <t xml:space="preserve">Define an exposure grid/window structure and emit sums or means per region so metering modes can apply their own weights.</t>
  </si>
  <si>
    <t xml:space="preserve">Automated tests and representative RAW fixtures demonstrate regional exposure statistics across declared modes, with documented tolerances and no regression in adjacent stages.</t>
  </si>
  <si>
    <t xml:space="preserve">Python module, typed configuration and tests for regional exposure statistics</t>
  </si>
  <si>
    <t xml:space="preserve">https://docs.kernel.org/userspace-api/media/v4l/metafmt-rkisp1.html#:~:text=Measurements%20are%20calculated%20per%20window</t>
  </si>
  <si>
    <t xml:space="preserve">p. 32</t>
  </si>
  <si>
    <t xml:space="preserve">13</t>
  </si>
  <si>
    <t xml:space="preserve">Highlight/saturation statistics</t>
  </si>
  <si>
    <t xml:space="preserve">pp. 32–34</t>
  </si>
  <si>
    <t xml:space="preserve">Track high histogram quantiles and channel saturation, then expose them to AE constraints so bright regions can be protected.</t>
  </si>
  <si>
    <t xml:space="preserve">Automated tests and representative RAW fixtures demonstrate highlight/saturation statistics across declared modes, with documented tolerances and no regression in adjacent stages.</t>
  </si>
  <si>
    <t xml:space="preserve">Python module, typed configuration and tests for highlight/saturation statistics</t>
  </si>
  <si>
    <t xml:space="preserve">14</t>
  </si>
  <si>
    <t xml:space="preserve">AWB grid statistics</t>
  </si>
  <si>
    <t xml:space="preserve">rkisp1_cif_isp_awb_meas_config</t>
  </si>
  <si>
    <t xml:space="preserve">Compute neutral-candidate sums/counts over an AWB window or grid with luminance/chroma rejection thresholds and a configurable frame average.</t>
  </si>
  <si>
    <t xml:space="preserve">Automated tests and representative RAW fixtures demonstrate awb grid statistics across declared modes, with documented tolerances and no regression in adjacent stages.</t>
  </si>
  <si>
    <t xml:space="preserve">Python module, typed configuration and tests for awb grid statistics</t>
  </si>
  <si>
    <t xml:space="preserve">https://docs.kernel.org/userspace-api/media/v4l/metafmt-rkisp1.html#:~:text=Configuration%20for%20the%20AWB%20statistics</t>
  </si>
  <si>
    <t xml:space="preserve">pp. 26–31</t>
  </si>
  <si>
    <t xml:space="preserve">15</t>
  </si>
  <si>
    <t xml:space="preserve">Focus/sharpness statistics</t>
  </si>
  <si>
    <t xml:space="preserve">§2.13.9.2 (AF statistics)</t>
  </si>
  <si>
    <t xml:space="preserve">Publish contrast/phase focus measurements by window; keep the statistic independent of the lens controller.</t>
  </si>
  <si>
    <t xml:space="preserve">Automated tests and representative RAW fixtures demonstrate focus/sharpness statistics across declared modes, with documented tolerances and no regression in adjacent stages.</t>
  </si>
  <si>
    <t xml:space="preserve">Python module, typed configuration and tests for focus/sharpness statistics</t>
  </si>
  <si>
    <t xml:space="preserve">pp. 45–47</t>
  </si>
  <si>
    <t xml:space="preserve">16</t>
  </si>
  <si>
    <t xml:space="preserve">Scene brightness/lux estimate</t>
  </si>
  <si>
    <t xml:space="preserve">pp. 20–21</t>
  </si>
  <si>
    <t xml:space="preserve">Calibrate one reference lux/exposure/gain/Y sample and estimate current lux from the corresponding exposure, gain and image-statistic ratios.</t>
  </si>
  <si>
    <t xml:space="preserve">Automated tests and representative RAW fixtures demonstrate scene brightness/lux estimate across declared modes, with documented tolerances and no regression in adjacent stages.</t>
  </si>
  <si>
    <t xml:space="preserve">Python module, typed configuration and tests for scene brightness/lux estimate</t>
  </si>
  <si>
    <t xml:space="preserve">17</t>
  </si>
  <si>
    <t xml:space="preserve">Frame-to-frame statistics history</t>
  </si>
  <si>
    <t xml:space="preserve">pp. 12–13</t>
  </si>
  <si>
    <t xml:space="preserve">Associate statistics with frame IDs, retain a bounded history, and use IIR/target filtering instead of reacting to a single noisy frame.</t>
  </si>
  <si>
    <t xml:space="preserve">Automated tests and representative RAW fixtures demonstrate frame-to-frame statistics history across declared modes, with documented tolerances and no regression in adjacent stages.</t>
  </si>
  <si>
    <t xml:space="preserve">Python module, typed configuration and tests for frame-to-frame statistics history</t>
  </si>
  <si>
    <t xml:space="preserve">18</t>
  </si>
  <si>
    <t xml:space="preserve">3. Automatic control</t>
  </si>
  <si>
    <t xml:space="preserve">Automatic exposure / gain control (AE/AGC)</t>
  </si>
  <si>
    <t xml:space="preserve">pp. 31–37</t>
  </si>
  <si>
    <t xml:space="preserve">Implement the controller around regional meters, histogram/channel constraints, exposure profiles and delayed sensor feedback.</t>
  </si>
  <si>
    <t xml:space="preserve">Automated tests and representative RAW fixtures demonstrate automatic exposure / gain control (ae/agc) across declared modes, with documented tolerances and no regression in adjacent stages.</t>
  </si>
  <si>
    <t xml:space="preserve">Python module, typed configuration and tests for automatic exposure / gain control (ae/agc)</t>
  </si>
  <si>
    <t xml:space="preserve">19</t>
  </si>
  <si>
    <t xml:space="preserve">Exposure metering modes and user regions</t>
  </si>
  <si>
    <t xml:space="preserve">pp. 32, 35–36</t>
  </si>
  <si>
    <t xml:space="preserve">Provide center-weighted/matrix/spot weight tables and user rectangles; reduce all modes to explicit regional weights.</t>
  </si>
  <si>
    <t xml:space="preserve">Automated tests and representative RAW fixtures demonstrate exposure metering modes and user regions across declared modes, with documented tolerances and no regression in adjacent stages.</t>
  </si>
  <si>
    <t xml:space="preserve">Python module, typed configuration and tests for exposure metering modes and user regions</t>
  </si>
  <si>
    <t xml:space="preserve">20</t>
  </si>
  <si>
    <t xml:space="preserve">Highlight-preserving exposure</t>
  </si>
  <si>
    <t xml:space="preserve">Add histogram quantile and per-channel clipping constraints that cap exposure even when the mean target requests more gain.</t>
  </si>
  <si>
    <t xml:space="preserve">Automated tests and representative RAW fixtures demonstrate highlight-preserving exposure across declared modes, with documented tolerances and no regression in adjacent stages.</t>
  </si>
  <si>
    <t xml:space="preserve">Python module, typed configuration and tests for highlight-preserving exposure</t>
  </si>
  <si>
    <t xml:space="preserve">21</t>
  </si>
  <si>
    <t xml:space="preserve">Exposure convergence and stability control</t>
  </si>
  <si>
    <t xml:space="preserve">pp. 35–37; p. 13</t>
  </si>
  <si>
    <t xml:space="preserve">Define convergence tolerances, startup behavior and filtered target updates; limit shutter/gain step size per frame.</t>
  </si>
  <si>
    <t xml:space="preserve">Automated tests and representative RAW fixtures demonstrate exposure convergence and stability control across declared modes, with documented tolerances and no regression in adjacent stages.</t>
  </si>
  <si>
    <t xml:space="preserve">Python module, typed configuration and tests for exposure convergence and stability control</t>
  </si>
  <si>
    <t xml:space="preserve">22</t>
  </si>
  <si>
    <t xml:space="preserve">50/60 Hz anti-flicker</t>
  </si>
  <si>
    <t xml:space="preserve">p. 35</t>
  </si>
  <si>
    <t xml:space="preserve">Quantize exposure time to a configurable flicker period through the AE controller while allowing an explicit disable/manual override.</t>
  </si>
  <si>
    <t xml:space="preserve">Automated tests and representative RAW fixtures demonstrate 50/60 hz anti-flicker across declared modes, with documented tolerances and no regression in adjacent stages.</t>
  </si>
  <si>
    <t xml:space="preserve">Python module, typed configuration and tests for 50/60 hz anti-flicker</t>
  </si>
  <si>
    <t xml:space="preserve">23</t>
  </si>
  <si>
    <t xml:space="preserve">Automatic white-balance estimation</t>
  </si>
  <si>
    <t xml:space="preserve">Estimate red/blue gains from feasible neutral candidates with a Bayesian illuminant prior/likelihood; keep estimation separate from gain application.</t>
  </si>
  <si>
    <t xml:space="preserve">Automated tests and representative RAW fixtures demonstrate automatic white-balance estimation across declared modes, with documented tolerances and no regression in adjacent stages.</t>
  </si>
  <si>
    <t xml:space="preserve">Python module, typed configuration and tests for automatic white-balance estimation</t>
  </si>
  <si>
    <t xml:space="preserve">24</t>
  </si>
  <si>
    <t xml:space="preserve">Illuminant and correlated-color-temperature estimation</t>
  </si>
  <si>
    <t xml:space="preserve">Return both channel gains and an illuminant/CCT estimate so CCM and lens shading can interpolate consistently.</t>
  </si>
  <si>
    <t xml:space="preserve">Automated tests and representative RAW fixtures demonstrate illuminant and correlated-color-temperature estimation across declared modes, with documented tolerances and no regression in adjacent stages.</t>
  </si>
  <si>
    <t xml:space="preserve">Python module, typed configuration and tests for illuminant and correlated-color-temperature estimation</t>
  </si>
  <si>
    <t xml:space="preserve">25</t>
  </si>
  <si>
    <t xml:space="preserve">AWB convergence and temporal smoothing</t>
  </si>
  <si>
    <t xml:space="preserve">pp. 29–31; p. 13</t>
  </si>
  <si>
    <t xml:space="preserve">Filter gains/CCT toward asynchronous AWB targets, expose convergence state, and use faster startup than steady-state smoothing.</t>
  </si>
  <si>
    <t xml:space="preserve">Automated tests and representative RAW fixtures demonstrate awb convergence and temporal smoothing across declared modes, with documented tolerances and no regression in adjacent stages.</t>
  </si>
  <si>
    <t xml:space="preserve">Python module, typed configuration and tests for awb convergence and temporal smoothing</t>
  </si>
  <si>
    <t xml:space="preserve">26</t>
  </si>
  <si>
    <t xml:space="preserve">Autofocus controller</t>
  </si>
  <si>
    <t xml:space="preserve">Support manual, one-shot and continuous modes; provide contrast/phase feedback, windows, scan steps, slew limits and termination criteria.</t>
  </si>
  <si>
    <t xml:space="preserve">Automated tests and representative RAW fixtures demonstrate autofocus controller across declared modes, with documented tolerances and no regression in adjacent stages.</t>
  </si>
  <si>
    <t xml:space="preserve">Python module, typed configuration and tests for autofocus controller</t>
  </si>
  <si>
    <t xml:space="preserve">27</t>
  </si>
  <si>
    <t xml:space="preserve">Manual AE/AWB/AF overrides and locks</t>
  </si>
  <si>
    <t xml:space="preserve">pp. 29–31, 35, 45–47</t>
  </si>
  <si>
    <t xml:space="preserve">Expose manual shutter/gain, WB gains/mode and lens position; report the frame on which each requested value takes effect.</t>
  </si>
  <si>
    <t xml:space="preserve">Automated tests and representative RAW fixtures demonstrate manual ae/awb/af overrides and locks across declared modes, with documented tolerances and no regression in adjacent stages.</t>
  </si>
  <si>
    <t xml:space="preserve">Python module, typed configuration and tests for manual ae/awb/af overrides and locks</t>
  </si>
  <si>
    <t xml:space="preserve">28</t>
  </si>
  <si>
    <t xml:space="preserve">4. HDR and dynamic range</t>
  </si>
  <si>
    <t xml:space="preserve">Advanced</t>
  </si>
  <si>
    <t xml:space="preserve">P1</t>
  </si>
  <si>
    <t xml:space="preserve">Multi-exposure HDR ingestion</t>
  </si>
  <si>
    <t xml:space="preserve">S05 — High Dynamic Range Imaging</t>
  </si>
  <si>
    <t xml:space="preserve">HDR image sequence input</t>
  </si>
  <si>
    <t xml:space="preserve">Accept exposure-bracketed frames plus exposure times and frame identity; validate consistent dimensions, CFA and black/white calibration.</t>
  </si>
  <si>
    <t xml:space="preserve">Automated tests and representative RAW fixtures demonstrate multi-exposure hdr ingestion across declared modes, with documented tolerances and no regression in adjacent stages.</t>
  </si>
  <si>
    <t xml:space="preserve">Python module, typed configuration and tests for multi-exposure hdr ingestion</t>
  </si>
  <si>
    <t xml:space="preserve">https://docs.opencv.org/4.x/d2/df0/tutorial_py_hdr.html#:~:text=HDR%20images%20encompass%20the%20information</t>
  </si>
  <si>
    <t xml:space="preserve">pp. 48–50</t>
  </si>
  <si>
    <t xml:space="preserve">29</t>
  </si>
  <si>
    <t xml:space="preserve">HDR exposure normalization</t>
  </si>
  <si>
    <t xml:space="preserve">p. 88 (ImageSequenceInfo)</t>
  </si>
  <si>
    <t xml:space="preserve">Normalize each frame to radiance using exposure time/gain and calibrated response before alignment or merge.</t>
  </si>
  <si>
    <t xml:space="preserve">Automated tests and representative RAW fixtures demonstrate hdr exposure normalization across declared modes, with documented tolerances and no regression in adjacent stages.</t>
  </si>
  <si>
    <t xml:space="preserve">Python module, typed configuration and tests for hdr exposure normalization</t>
  </si>
  <si>
    <t xml:space="preserve">Camera response calibration / MergeDebevec</t>
  </si>
  <si>
    <t xml:space="preserve">https://docs.opencv.org/4.x/d2/df0/tutorial_py_hdr.html</t>
  </si>
  <si>
    <t xml:space="preserve">30</t>
  </si>
  <si>
    <t xml:space="preserve">Exposure alignment</t>
  </si>
  <si>
    <t xml:space="preserve">S06 — Robust Patch-Based HDR Reconstruction of Dynamic Scenes</t>
  </si>
  <si>
    <t xml:space="preserve">pp. 3–6</t>
  </si>
  <si>
    <t xml:space="preserve">Align exposures in a radiometrically comparable domain; use multi-scale correspondence and retain validity/occlusion masks.</t>
  </si>
  <si>
    <t xml:space="preserve">Automated tests and representative RAW fixtures demonstrate exposure alignment across declared modes, with documented tolerances and no regression in adjacent stages.</t>
  </si>
  <si>
    <t xml:space="preserve">Python module, typed configuration and tests for exposure alignment</t>
  </si>
  <si>
    <t xml:space="preserve">https://people.engr.tamu.edu/nimak/Data/SIGASIA12_HDR_PatchBasedReconstruction.pdf</t>
  </si>
  <si>
    <t xml:space="preserve">S10 — Optical Flow</t>
  </si>
  <si>
    <t xml:space="preserve">Farnebäck or pyramidal Lucas–Kanade</t>
  </si>
  <si>
    <t xml:space="preserve">https://docs.opencv.org/4.x/d4/dee/tutorial_optical_flow.html</t>
  </si>
  <si>
    <t xml:space="preserve">31</t>
  </si>
  <si>
    <t xml:space="preserve">HDR merge</t>
  </si>
  <si>
    <t xml:space="preserve">Debevec merge and Mertens exposure fusion</t>
  </si>
  <si>
    <t xml:space="preserve">Implement both radiance-map merge and exposure fusion; weight away from saturated/underexposed samples and preserve float output.</t>
  </si>
  <si>
    <t xml:space="preserve">Automated tests and representative RAW fixtures demonstrate hdr merge across declared modes, with documented tolerances and no regression in adjacent stages.</t>
  </si>
  <si>
    <t xml:space="preserve">Python module, typed configuration and tests for hdr merge</t>
  </si>
  <si>
    <t xml:space="preserve">https://docs.opencv.org/4.x/d2/df0/tutorial_py_hdr.html#:~:text=Merge%20images%20into%20an%20HDR%20linear%20image</t>
  </si>
  <si>
    <t xml:space="preserve">p. 88</t>
  </si>
  <si>
    <t xml:space="preserve">32</t>
  </si>
  <si>
    <t xml:space="preserve">Motion and ghost detection</t>
  </si>
  <si>
    <t xml:space="preserve">pp. 2–7</t>
  </si>
  <si>
    <t xml:space="preserve">Detect inconsistent/moving regions, maintain correspondence confidence, and either jointly reconstruct or reject unreliable samples during merge.</t>
  </si>
  <si>
    <t xml:space="preserve">Automated tests and representative RAW fixtures demonstrate motion and ghost detection across declared modes, with documented tolerances and no regression in adjacent stages.</t>
  </si>
  <si>
    <t xml:space="preserve">Python module, typed configuration and tests for motion and ghost detection</t>
  </si>
  <si>
    <t xml:space="preserve">33</t>
  </si>
  <si>
    <t xml:space="preserve">Global tone mapping</t>
  </si>
  <si>
    <t xml:space="preserve">S07 — Photographic Tone Reproduction for Digital Images</t>
  </si>
  <si>
    <t xml:space="preserve">p. 3, §3.1</t>
  </si>
  <si>
    <t xml:space="preserve">Use log-average luminance to set key/exposure and apply the photographic compression curve in linear luminance.</t>
  </si>
  <si>
    <t xml:space="preserve">Automated tests and representative RAW fixtures demonstrate global tone mapping across declared modes, with documented tolerances and no regression in adjacent stages.</t>
  </si>
  <si>
    <t xml:space="preserve">Python module, typed configuration and tests for global tone mapping</t>
  </si>
  <si>
    <t xml:space="preserve">https://web.tecgraf.puc-rio.br/~scuri/inf1378/pub/reinhard.pdf</t>
  </si>
  <si>
    <t xml:space="preserve">34</t>
  </si>
  <si>
    <t xml:space="preserve">Local/adaptive tone mapping</t>
  </si>
  <si>
    <t xml:space="preserve">pp. 3–5, §3.2</t>
  </si>
  <si>
    <t xml:space="preserve">Select a local luminance scale with multi-scale Gaussian responses, then use it in the compression denominator while checking for halos.</t>
  </si>
  <si>
    <t xml:space="preserve">Automated tests and representative RAW fixtures demonstrate local/adaptive tone mapping across declared modes, with documented tolerances and no regression in adjacent stages.</t>
  </si>
  <si>
    <t xml:space="preserve">Python module, typed configuration and tests for local/adaptive tone mapping</t>
  </si>
  <si>
    <t xml:space="preserve">35</t>
  </si>
  <si>
    <t xml:space="preserve">Highlight roll-off</t>
  </si>
  <si>
    <t xml:space="preserve">p. 3, equations 3–4</t>
  </si>
  <si>
    <t xml:space="preserve">Use the white-point parameter and smooth rational compression rather than hard clipping; tune the smallest luminance that maps to output white.</t>
  </si>
  <si>
    <t xml:space="preserve">Automated tests and representative RAW fixtures demonstrate highlight roll-off across declared modes, with documented tolerances and no regression in adjacent stages.</t>
  </si>
  <si>
    <t xml:space="preserve">Python module, typed configuration and tests for highlight roll-off</t>
  </si>
  <si>
    <t xml:space="preserve">36</t>
  </si>
  <si>
    <t xml:space="preserve">Shadow enhancement</t>
  </si>
  <si>
    <t xml:space="preserve">pp. 3–5</t>
  </si>
  <si>
    <t xml:space="preserve">Lift low luminance through key scaling/local adaptation while bounding noise amplification with the per-frame noise profile.</t>
  </si>
  <si>
    <t xml:space="preserve">Automated tests and representative RAW fixtures demonstrate shadow enhancement across declared modes, with documented tolerances and no regression in adjacent stages.</t>
  </si>
  <si>
    <t xml:space="preserve">Python module, typed configuration and tests for shadow enhancement</t>
  </si>
  <si>
    <t xml:space="preserve">pp. 41–43</t>
  </si>
  <si>
    <t xml:space="preserve">37</t>
  </si>
  <si>
    <t xml:space="preserve">HLG/PQ output transfer curves, if required</t>
  </si>
  <si>
    <t xml:space="preserve">S08 — Recommendation ITU-R BT.2100-3</t>
  </si>
  <si>
    <t xml:space="preserve">pp. 4–6 (Tables 4–5)</t>
  </si>
  <si>
    <t xml:space="preserve">Implement the normative PQ or HLG OETF/EOTF equations and metadata as an output mode; do not mix the two systems in one signal chain.</t>
  </si>
  <si>
    <t xml:space="preserve">Automated tests and representative RAW fixtures demonstrate hlg/pq output transfer curves, if required across declared modes, with documented tolerances and no regression in adjacent stages.</t>
  </si>
  <si>
    <t xml:space="preserve">Python module, typed configuration and tests for hlg/pq output transfer curves, if required</t>
  </si>
  <si>
    <t xml:space="preserve">https://www.itu.int/dms_pubrec/itu-r/rec/bt/R-REC-BT.2100-3-202502-I%21%21PDF-E.pdf</t>
  </si>
  <si>
    <t xml:space="preserve">38</t>
  </si>
  <si>
    <t xml:space="preserve">5. Noise reduction</t>
  </si>
  <si>
    <t xml:space="preserve">Gain-aware Bayer-domain spatial denoise</t>
  </si>
  <si>
    <t xml:space="preserve">pp. 21, 23–24</t>
  </si>
  <si>
    <t xml:space="preserve">Derive strength from the current noise profile and apply it before demosaic so thresholding scales with analog gain and sensor mode.</t>
  </si>
  <si>
    <t xml:space="preserve">Automated tests and representative RAW fixtures demonstrate gain-aware bayer-domain spatial denoise across declared modes, with documented tolerances and no regression in adjacent stages.</t>
  </si>
  <si>
    <t xml:space="preserve">Python module, typed configuration and tests for gain-aware bayer-domain spatial denoise</t>
  </si>
  <si>
    <t xml:space="preserve">39</t>
  </si>
  <si>
    <t xml:space="preserve">Post-demosaic chroma denoise</t>
  </si>
  <si>
    <t xml:space="preserve">pp. 24–26</t>
  </si>
  <si>
    <t xml:space="preserve">Use a separate colour-denoise stage after demosaic with independently tunable normal/HDR/night configurations.</t>
  </si>
  <si>
    <t xml:space="preserve">Automated tests and representative RAW fixtures demonstrate post-demosaic chroma denoise across declared modes, with documented tolerances and no regression in adjacent stages.</t>
  </si>
  <si>
    <t xml:space="preserve">Python module, typed configuration and tests for post-demosaic chroma denoise</t>
  </si>
  <si>
    <t xml:space="preserve">40</t>
  </si>
  <si>
    <t xml:space="preserve">Temporal noise reduction</t>
  </si>
  <si>
    <t xml:space="preserve">Blend the current pixel with the prior temporally denoised result only when similarity/confidence indicates the sample is stable.</t>
  </si>
  <si>
    <t xml:space="preserve">Automated tests and representative RAW fixtures demonstrate temporal noise reduction across declared modes, with documented tolerances and no regression in adjacent stages.</t>
  </si>
  <si>
    <t xml:space="preserve">Python module, typed configuration and tests for temporal noise reduction</t>
  </si>
  <si>
    <t xml:space="preserve">41</t>
  </si>
  <si>
    <t xml:space="preserve">Motion estimation for temporal processing</t>
  </si>
  <si>
    <t xml:space="preserve">Farnebäck and pyramidal Lucas–Kanade sections</t>
  </si>
  <si>
    <t xml:space="preserve">Estimate dense or sparse motion, reject low-confidence vectors, and warp history into the current frame before temporal comparison.</t>
  </si>
  <si>
    <t xml:space="preserve">Automated tests and representative RAW fixtures demonstrate motion estimation for temporal processing across declared modes, with documented tolerances and no regression in adjacent stages.</t>
  </si>
  <si>
    <t xml:space="preserve">Python module, typed configuration and tests for motion estimation for temporal processing</t>
  </si>
  <si>
    <t xml:space="preserve">https://docs.opencv.org/4.x/d4/dee/tutorial_optical_flow.html#:~:text=cv.calcOpticalFlowFarneback</t>
  </si>
  <si>
    <t xml:space="preserve">42</t>
  </si>
  <si>
    <t xml:space="preserve">Motion-adaptive temporal blending</t>
  </si>
  <si>
    <t xml:space="preserve">Pattern adaptation</t>
  </si>
  <si>
    <t xml:space="preserve">Optical-flow implementation</t>
  </si>
  <si>
    <t xml:space="preserve">Use flow residual/confidence to reduce temporal weight around motion, occlusion and scene cuts; use the RPi temporal similarity rule as the no-flow fallback.</t>
  </si>
  <si>
    <t xml:space="preserve">Automated tests and representative RAW fixtures demonstrate motion-adaptive temporal blending across declared modes, with documented tolerances and no regression in adjacent stages.</t>
  </si>
  <si>
    <t xml:space="preserve">Python module, typed configuration and tests for motion-adaptive temporal blending</t>
  </si>
  <si>
    <t xml:space="preserve">43</t>
  </si>
  <si>
    <t xml:space="preserve">Hot-pixel versus real-detail discrimination</t>
  </si>
  <si>
    <t xml:space="preserve">rkisp1 DPCC methods</t>
  </si>
  <si>
    <t xml:space="preserve">Combine line MAD, peak-gradient, rank-neighbour and rank-gradient tests; require agreement of independent tests before replacing a sample.</t>
  </si>
  <si>
    <t xml:space="preserve">Automated tests and representative RAW fixtures demonstrate hot-pixel versus real-detail discrimination across declared modes, with documented tolerances and no regression in adjacent stages.</t>
  </si>
  <si>
    <t xml:space="preserve">Python module, typed configuration and tests for hot-pixel versus real-detail discrimination</t>
  </si>
  <si>
    <t xml:space="preserve">https://docs.kernel.org/userspace-api/media/v4l/metafmt-rkisp1.html#:~:text=This%20structure%20stores%20the%20configuration%20of%20one%20set%20of%20methods</t>
  </si>
  <si>
    <t xml:space="preserve">44</t>
  </si>
  <si>
    <t xml:space="preserve">Multi-frame noise reduction</t>
  </si>
  <si>
    <t xml:space="preserve">S09 — Image Denoising — Non-local Means</t>
  </si>
  <si>
    <t xml:space="preserve">fastNlMeansDenoisingMulti</t>
  </si>
  <si>
    <t xml:space="preserve">Maintain an odd temporal window centered on the target frame and expose temporal window/search/template sizes as tuning parameters.</t>
  </si>
  <si>
    <t xml:space="preserve">Automated tests and representative RAW fixtures demonstrate multi-frame noise reduction across declared modes, with documented tolerances and no regression in adjacent stages.</t>
  </si>
  <si>
    <t xml:space="preserve">Python module, typed configuration and tests for multi-frame noise reduction</t>
  </si>
  <si>
    <t xml:space="preserve">https://docs.opencv.org/4.x/d5/d69/tutorial_py_non_local_means.html#:~:text=cv.fastNlMeansDenoisingMulti</t>
  </si>
  <si>
    <t xml:space="preserve">45</t>
  </si>
  <si>
    <t xml:space="preserve">Detail-preserving denoise strength control</t>
  </si>
  <si>
    <t xml:space="preserve">rkisp1_cif_isp_flt_config</t>
  </si>
  <si>
    <t xml:space="preserve">Classify gradients into blur/mid/sharpen bands and apply signal/noise-dependent factors so flat regions are smoothed without erasing edges.</t>
  </si>
  <si>
    <t xml:space="preserve">Automated tests and representative RAW fixtures demonstrate detail-preserving denoise strength control across declared modes, with documented tolerances and no regression in adjacent stages.</t>
  </si>
  <si>
    <t xml:space="preserve">Python module, typed configuration and tests for detail-preserving denoise strength control</t>
  </si>
  <si>
    <t xml:space="preserve">https://docs.kernel.org/userspace-api/media/v4l/metafmt-rkisp1.html#:~:text=If%20thresh_bl1%20%3C%20sum_grad</t>
  </si>
  <si>
    <t xml:space="preserve">pp. 23–26</t>
  </si>
  <si>
    <t xml:space="preserve">46</t>
  </si>
  <si>
    <t xml:space="preserve">6. Demosaic and artifacts</t>
  </si>
  <si>
    <t xml:space="preserve">An additional edge-aware demosaic</t>
  </si>
  <si>
    <t xml:space="preserve">S11 — DDFAPD / Menon 2007 Bayer demosaicing implementation</t>
  </si>
  <si>
    <t xml:space="preserve">lines 56–220</t>
  </si>
  <si>
    <t xml:space="preserve">Add DDFAPD/Menon as an alternative to Malvar: build horizontal/vertical green estimates, compare directional variation, and reconstruct along the lower-error direction.</t>
  </si>
  <si>
    <t xml:space="preserve">Automated tests and representative RAW fixtures demonstrate an additional edge-aware demosaic across declared modes, with documented tolerances and no regression in adjacent stages.</t>
  </si>
  <si>
    <t xml:space="preserve">Python module, typed configuration and tests for an additional edge-aware demosaic</t>
  </si>
  <si>
    <t xml:space="preserve">https://github.com/colour-science/colour-demosaicing/blob/7bff324983fb77b41444fda3bf922e354d386d1c/colour_demosaicing/bayer/demosaicing/menon2007.py#L56-L387</t>
  </si>
  <si>
    <t xml:space="preserve">S12 — High-Quality Linear Interpolation for Demosaicing of Bayer-Patterned Color Images</t>
  </si>
  <si>
    <t xml:space="preserve">pp. 1–4</t>
  </si>
  <si>
    <t xml:space="preserve">https://www.microsoft.com/en-us/research/wp-content/uploads/2016/02/Demosaicing_ICASSP04.pdf</t>
  </si>
  <si>
    <t xml:space="preserve">47</t>
  </si>
  <si>
    <t xml:space="preserve">Zipper-artifact suppression</t>
  </si>
  <si>
    <t xml:space="preserve">lines 239–387</t>
  </si>
  <si>
    <t xml:space="preserve">Run the Menon refinement pass on color differences and chosen directions; include high-contrast edge crops in regression tests.</t>
  </si>
  <si>
    <t xml:space="preserve">Automated tests and representative RAW fixtures demonstrate zipper-artifact suppression across declared modes, with documented tolerances and no regression in adjacent stages.</t>
  </si>
  <si>
    <t xml:space="preserve">Python module, typed configuration and tests for zipper-artifact suppression</t>
  </si>
  <si>
    <t xml:space="preserve">48</t>
  </si>
  <si>
    <t xml:space="preserve">Moiré / alias suppression</t>
  </si>
  <si>
    <t xml:space="preserve">pp. 39–40 (ChromaBlurRadius, AntiAliasStrength)</t>
  </si>
  <si>
    <t xml:space="preserve">Use calibrated optical anti-alias strength plus a controlled pre/post-demosaic chroma low-pass; gate it with texture/alias detection to preserve detail.</t>
  </si>
  <si>
    <t xml:space="preserve">Automated tests and representative RAW fixtures demonstrate moiré / alias suppression across declared modes, with documented tolerances and no regression in adjacent stages.</t>
  </si>
  <si>
    <t xml:space="preserve">Python module, typed configuration and tests for moiré / alias suppression</t>
  </si>
  <si>
    <t xml:space="preserve">demosaic texture detection</t>
  </si>
  <si>
    <t xml:space="preserve">https://docs.kernel.org/userspace-api/media/v4l/metafmt-rkisp1.html#:~:text=threshold%20for%20bayer%20demosaicing%20texture%20detection</t>
  </si>
  <si>
    <t xml:space="preserve">49</t>
  </si>
  <si>
    <t xml:space="preserve">Improved false-color suppression</t>
  </si>
  <si>
    <t xml:space="preserve">Refine R−G and B−G along the selected edge direction rather than globally desaturating; preserve genuine saturated edges.</t>
  </si>
  <si>
    <t xml:space="preserve">Automated tests and representative RAW fixtures demonstrate improved false-color suppression across declared modes, with documented tolerances and no regression in adjacent stages.</t>
  </si>
  <si>
    <t xml:space="preserve">Python module, typed configuration and tests for improved false-color suppression</t>
  </si>
  <si>
    <t xml:space="preserve">50</t>
  </si>
  <si>
    <t xml:space="preserve">Chromatic-aberration correction</t>
  </si>
  <si>
    <t xml:space="preserve">pp. 47–48</t>
  </si>
  <si>
    <t xml:space="preserve">Calibrate per-channel displacement from chart captures and remap red/blue relative to green before later color/detail operations.</t>
  </si>
  <si>
    <t xml:space="preserve">Automated tests and representative RAW fixtures demonstrate chromatic-aberration correction across declared modes, with documented tolerances and no regression in adjacent stages.</t>
  </si>
  <si>
    <t xml:space="preserve">Python module, typed configuration and tests for chromatic-aberration correction</t>
  </si>
  <si>
    <t xml:space="preserve">pp. 106–110 (warp/vignette opcodes)</t>
  </si>
  <si>
    <t xml:space="preserve">51</t>
  </si>
  <si>
    <t xml:space="preserve">Purple-fringe correction</t>
  </si>
  <si>
    <t xml:space="preserve">S13 — defringe module</t>
  </si>
  <si>
    <t xml:space="preserve">Algorithm description</t>
  </si>
  <si>
    <t xml:space="preserve">Detect narrow high-chroma fringes at edges and rebuild their colour from less-saturated neighbours; keep hue range, radius and threshold tunable.</t>
  </si>
  <si>
    <t xml:space="preserve">Automated tests and representative RAW fixtures demonstrate purple-fringe correction across declared modes, with documented tolerances and no regression in adjacent stages.</t>
  </si>
  <si>
    <t xml:space="preserve">Python module, typed configuration and tests for purple-fringe correction</t>
  </si>
  <si>
    <t xml:space="preserve">https://docs.darktable.org/usermanual/4.0/en/module-reference/processing-modules/defringe/#:~:text=This%20module%20uses%20edge-detection</t>
  </si>
  <si>
    <t xml:space="preserve">52</t>
  </si>
  <si>
    <t xml:space="preserve">7. Color</t>
  </si>
  <si>
    <t xml:space="preserve">Multiple CCMs by illuminant</t>
  </si>
  <si>
    <t xml:space="preserve">pp. 43–44</t>
  </si>
  <si>
    <t xml:space="preserve">Calibrate a 3×3 matrix at several controlled colour temperatures; preserve neutral greys by constraining row sums where appropriate.</t>
  </si>
  <si>
    <t xml:space="preserve">Automated tests and representative RAW fixtures demonstrate multiple ccms by illuminant across declared modes, with documented tolerances and no regression in adjacent stages.</t>
  </si>
  <si>
    <t xml:space="preserve">Python module, typed configuration and tests for multiple ccms by illuminant</t>
  </si>
  <si>
    <t xml:space="preserve">53</t>
  </si>
  <si>
    <t xml:space="preserve">CCM interpolation by CCT</t>
  </si>
  <si>
    <t xml:space="preserve">Use the AWB CCT estimate to interpolate the bracketing calibrated matrices and publish the applied matrix in frame metadata.</t>
  </si>
  <si>
    <t xml:space="preserve">Automated tests and representative RAW fixtures demonstrate ccm interpolation by cct across declared modes, with documented tolerances and no regression in adjacent stages.</t>
  </si>
  <si>
    <t xml:space="preserve">Python module, typed configuration and tests for ccm interpolation by cct</t>
  </si>
  <si>
    <t xml:space="preserve">54</t>
  </si>
  <si>
    <t xml:space="preserve">Gain-dependent CCM or color-noise compensation</t>
  </si>
  <si>
    <t xml:space="preserve">pp. 21, 43–44</t>
  </si>
  <si>
    <t xml:space="preserve">Extend the documented CCT table with a gain axis; calibrate/validate each gain region and interpolate first in CCT, then gain. This is a tuning policy, not a universal standard requirement.</t>
  </si>
  <si>
    <t xml:space="preserve">Automated tests and representative RAW fixtures demonstrate gain-dependent ccm or color-noise compensation across declared modes, with documented tolerances and no regression in adjacent stages.</t>
  </si>
  <si>
    <t xml:space="preserve">Python module, typed configuration and tests for gain-dependent ccm or color-noise compensation</t>
  </si>
  <si>
    <t xml:space="preserve">55</t>
  </si>
  <si>
    <t xml:space="preserve">Gamut mapping</t>
  </si>
  <si>
    <t xml:space="preserve">S14 — Report ITU-R BT.2407-0 — Colour gamut conversion</t>
  </si>
  <si>
    <t xml:space="preserve">p. 3 onward</t>
  </si>
  <si>
    <t xml:space="preserve">Convert into a perceptual mapping space, compress only out-of-gamut colours toward the target gamut, then convert to target RGB rather than hard-clipping channels.</t>
  </si>
  <si>
    <t xml:space="preserve">Automated tests and representative RAW fixtures demonstrate gamut mapping across declared modes, with documented tolerances and no regression in adjacent stages.</t>
  </si>
  <si>
    <t xml:space="preserve">Python module, typed configuration and tests for gamut mapping</t>
  </si>
  <si>
    <t xml:space="preserve">https://www.itu.int/dms_pub/itu-r/opb/rep/R-REP-BT.2407-2017-PDF-E.pdf</t>
  </si>
  <si>
    <t xml:space="preserve">56</t>
  </si>
  <si>
    <t xml:space="preserve">3D LUT / look transform</t>
  </si>
  <si>
    <t xml:space="preserve">pp. 49–50, 56–57, 103</t>
  </si>
  <si>
    <t xml:space="preserve">Implement ProfileHueSatMap/ProfileLookTable as trilinear interpolation over hue, saturation and value, ordered as specified around tone/color transforms.</t>
  </si>
  <si>
    <t xml:space="preserve">Automated tests and representative RAW fixtures demonstrate 3d lut / look transform across declared modes, with documented tolerances and no regression in adjacent stages.</t>
  </si>
  <si>
    <t xml:space="preserve">Python module, typed configuration and tests for 3d lut / look transform</t>
  </si>
  <si>
    <t xml:space="preserve">57</t>
  </si>
  <si>
    <t xml:space="preserve">Temperature and tint controls</t>
  </si>
  <si>
    <t xml:space="preserve">pp. 36, 100–103</t>
  </si>
  <si>
    <t xml:space="preserve">Represent white balance as AsShotNeutral/white chromaticity, convert temperature/tint to a neutral vector, then feed the same color-calibration path as automatic AWB.</t>
  </si>
  <si>
    <t xml:space="preserve">Automated tests and representative RAW fixtures demonstrate temperature and tint controls across declared modes, with documented tolerances and no regression in adjacent stages.</t>
  </si>
  <si>
    <t xml:space="preserve">Python module, typed configuration and tests for temperature and tint controls</t>
  </si>
  <si>
    <t xml:space="preserve">58</t>
  </si>
  <si>
    <t xml:space="preserve">Standard output color spaces</t>
  </si>
  <si>
    <t xml:space="preserve">S15 — sRGB — Three Component Color Encoding Registry</t>
  </si>
  <si>
    <t xml:space="preserve">Encoding characteristics</t>
  </si>
  <si>
    <t xml:space="preserve">Provide explicit output profiles/metadata; for sRGB use the registered D65 primaries, piecewise transfer function and defined normalized range.</t>
  </si>
  <si>
    <t xml:space="preserve">Automated tests and representative RAW fixtures demonstrate standard output color spaces across declared modes, with documented tolerances and no regression in adjacent stages.</t>
  </si>
  <si>
    <t xml:space="preserve">Python module, typed configuration and tests for standard output color spaces</t>
  </si>
  <si>
    <t xml:space="preserve">https://registry.color.org/rgb-registry/srgb</t>
  </si>
  <si>
    <t xml:space="preserve">59</t>
  </si>
  <si>
    <t xml:space="preserve">Limited- and full-range YUV</t>
  </si>
  <si>
    <t xml:space="preserve">rkisp1_cif_isp_cproc_config</t>
  </si>
  <si>
    <t xml:space="preserve">Select full/limited luminance and chroma ranges explicitly, use the matching matrix coefficients, and test black/white/chroma endpoints.</t>
  </si>
  <si>
    <t xml:space="preserve">Automated tests and representative RAW fixtures demonstrate limited- and full-range yuv across declared modes, with documented tolerances and no regression in adjacent stages.</t>
  </si>
  <si>
    <t xml:space="preserve">Python module, typed configuration and tests for limited- and full-range yuv</t>
  </si>
  <si>
    <t xml:space="preserve">https://docs.kernel.org/userspace-api/media/v4l/metafmt-rkisp1.html#:~:text=Chrominance%20pixel%20clipping%20range%20at%20output</t>
  </si>
  <si>
    <t xml:space="preserve">S16 — Color Space Conversions</t>
  </si>
  <si>
    <t xml:space="preserve">RGB/YUV conversion codes</t>
  </si>
  <si>
    <t xml:space="preserve">https://docs.opencv.org/4.x/d8/d01/group__imgproc__color__conversions.html</t>
  </si>
  <si>
    <t xml:space="preserve">60</t>
  </si>
  <si>
    <t xml:space="preserve">Color metadata</t>
  </si>
  <si>
    <t xml:space="preserve">pp. 31–36</t>
  </si>
  <si>
    <t xml:space="preserve">Carry illuminant, matrices, white balance, primaries/transfer/range and applied look identifiers beside the image; embed them on export.</t>
  </si>
  <si>
    <t xml:space="preserve">Automated tests and representative RAW fixtures demonstrate color metadata across declared modes, with documented tolerances and no regression in adjacent stages.</t>
  </si>
  <si>
    <t xml:space="preserve">Python module, typed configuration and tests for color metadata</t>
  </si>
  <si>
    <t xml:space="preserve">61</t>
  </si>
  <si>
    <t xml:space="preserve">8. Detail and appearance</t>
  </si>
  <si>
    <t xml:space="preserve">Gain-aware sharpening</t>
  </si>
  <si>
    <t xml:space="preserve">pp. 21, 44–45</t>
  </si>
  <si>
    <t xml:space="preserve">Drive sharpening threshold/strength/limit from the per-frame noise profile and mode so high-gain noise is not sharpened.</t>
  </si>
  <si>
    <t xml:space="preserve">Automated tests and representative RAW fixtures demonstrate gain-aware sharpening across declared modes, with documented tolerances and no regression in adjacent stages.</t>
  </si>
  <si>
    <t xml:space="preserve">Python module, typed configuration and tests for gain-aware sharpening</t>
  </si>
  <si>
    <t xml:space="preserve">62</t>
  </si>
  <si>
    <t xml:space="preserve">Halo suppression</t>
  </si>
  <si>
    <t xml:space="preserve">p. 45</t>
  </si>
  <si>
    <t xml:space="preserve">Use threshold and absolute sharpening limits, then add overshoot/undershoot test patterns to tune the maximum edge excursion.</t>
  </si>
  <si>
    <t xml:space="preserve">Automated tests and representative RAW fixtures demonstrate halo suppression across declared modes, with documented tolerances and no regression in adjacent stages.</t>
  </si>
  <si>
    <t xml:space="preserve">Python module, typed configuration and tests for halo suppression</t>
  </si>
  <si>
    <t xml:space="preserve">63</t>
  </si>
  <si>
    <t xml:space="preserve">Texture-versus-edge discrimination</t>
  </si>
  <si>
    <t xml:space="preserve">rkisp1 filter and demosaic texture thresholds</t>
  </si>
  <si>
    <t xml:space="preserve">Classify local gradient/texture before choosing blur, neutral or sharpening factors; avoid using one high-pass gain for every region.</t>
  </si>
  <si>
    <t xml:space="preserve">Automated tests and representative RAW fixtures demonstrate texture-versus-edge discrimination across declared modes, with documented tolerances and no regression in adjacent stages.</t>
  </si>
  <si>
    <t xml:space="preserve">Python module, typed configuration and tests for texture-versus-edge discrimination</t>
  </si>
  <si>
    <t xml:space="preserve">64</t>
  </si>
  <si>
    <t xml:space="preserve">Adaptive contrast</t>
  </si>
  <si>
    <t xml:space="preserve">Move low/high histogram quantiles toward bounded targets while retaining a configured base gamma curve and user brightness/contrast controls.</t>
  </si>
  <si>
    <t xml:space="preserve">Automated tests and representative RAW fixtures demonstrate adaptive contrast across declared modes, with documented tolerances and no regression in adjacent stages.</t>
  </si>
  <si>
    <t xml:space="preserve">Python module, typed configuration and tests for adaptive contrast</t>
  </si>
  <si>
    <t xml:space="preserve">65</t>
  </si>
  <si>
    <t xml:space="preserve">Local contrast</t>
  </si>
  <si>
    <t xml:space="preserve">Use multi-scale local luminance and a contrast threshold to select the largest artifact-free neighbourhood for local compression/enhancement.</t>
  </si>
  <si>
    <t xml:space="preserve">Automated tests and representative RAW fixtures demonstrate local contrast across declared modes, with documented tolerances and no regression in adjacent stages.</t>
  </si>
  <si>
    <t xml:space="preserve">Python module, typed configuration and tests for local contrast</t>
  </si>
  <si>
    <t xml:space="preserve">66</t>
  </si>
  <si>
    <t xml:space="preserve">Scene-dependent saturation</t>
  </si>
  <si>
    <t xml:space="preserve">p. 44</t>
  </si>
  <si>
    <t xml:space="preserve">Make saturation a piecewise-linear function of estimated lux, typically reducing it in low light to avoid amplifying chroma noise.</t>
  </si>
  <si>
    <t xml:space="preserve">Automated tests and representative RAW fixtures demonstrate scene-dependent saturation across declared modes, with documented tolerances and no regression in adjacent stages.</t>
  </si>
  <si>
    <t xml:space="preserve">Python module, typed configuration and tests for scene-dependent saturation</t>
  </si>
  <si>
    <t xml:space="preserve">67</t>
  </si>
  <si>
    <t xml:space="preserve">Skin-tone preservation</t>
  </si>
  <si>
    <t xml:space="preserve">pp. 49–50, 103</t>
  </si>
  <si>
    <t xml:space="preserve">Reserve a protected hue/saturation region in the 3-D profile table and limit look/saturation changes there; validate against measured skin patches.</t>
  </si>
  <si>
    <t xml:space="preserve">Automated tests and representative RAW fixtures demonstrate skin-tone preservation across declared modes, with documented tolerances and no regression in adjacent stages.</t>
  </si>
  <si>
    <t xml:space="preserve">Python module, typed configuration and tests for skin-tone preservation</t>
  </si>
  <si>
    <t xml:space="preserve">68</t>
  </si>
  <si>
    <t xml:space="preserve">Temporal smoothing of visible parameters</t>
  </si>
  <si>
    <t xml:space="preserve">p. 13</t>
  </si>
  <si>
    <t xml:space="preserve">IIR-filter AWB, CCM, tone, denoise and sharpening targets per frame, with separate startup and steady-state time constants.</t>
  </si>
  <si>
    <t xml:space="preserve">Automated tests and representative RAW fixtures demonstrate temporal smoothing of visible parameters across declared modes, with documented tolerances and no regression in adjacent stages.</t>
  </si>
  <si>
    <t xml:space="preserve">Python module, typed configuration and tests for temporal smoothing of visible parameters</t>
  </si>
  <si>
    <t xml:space="preserve">69</t>
  </si>
  <si>
    <t xml:space="preserve">9. Geometry and output</t>
  </si>
  <si>
    <t xml:space="preserve">Crop</t>
  </si>
  <si>
    <t xml:space="preserve">S04 — ARM Mali-C55 Image Signal Processor driver</t>
  </si>
  <si>
    <t xml:space="preserve">§7.12.4.3.1</t>
  </si>
  <si>
    <t xml:space="preserve">Represent crop as an explicit rectangle in sensor coordinates, validate bounds/alignment and apply it before scaling.</t>
  </si>
  <si>
    <t xml:space="preserve">Automated tests and representative RAW fixtures demonstrate crop across declared modes, with documented tolerances and no regression in adjacent stages.</t>
  </si>
  <si>
    <t xml:space="preserve">Python module, typed configuration and tests for crop</t>
  </si>
  <si>
    <t xml:space="preserve">https://docs.kernel.org/admin-guide/media/mali-c55.html#:~:text=To%20crop%20the%20image%20simply%20configure</t>
  </si>
  <si>
    <t xml:space="preserve">S32 — Basic indexing</t>
  </si>
  <si>
    <t xml:space="preserve">Basic slicing</t>
  </si>
  <si>
    <t xml:space="preserve">https://numpy.org/doc/stable/user/basics.indexing.html#basic-indexing</t>
  </si>
  <si>
    <t xml:space="preserve">70</t>
  </si>
  <si>
    <t xml:space="preserve">Resize/downscale</t>
  </si>
  <si>
    <t xml:space="preserve">§7.12.4.3.2</t>
  </si>
  <si>
    <t xml:space="preserve">Configure independent crop and compose/output sizes; use a proper low-pass interpolation and preserve aspect ratio unless explicitly requested.</t>
  </si>
  <si>
    <t xml:space="preserve">Automated tests and representative RAW fixtures demonstrate resize/downscale across declared modes, with documented tolerances and no regression in adjacent stages.</t>
  </si>
  <si>
    <t xml:space="preserve">Python module, typed configuration and tests for resize/downscale</t>
  </si>
  <si>
    <t xml:space="preserve">https://docs.kernel.org/admin-guide/media/mali-c55.html#:~:text=Both%20the%20full%20resolution%20and%20downscale%20pipes%20can%20downscale</t>
  </si>
  <si>
    <t xml:space="preserve">S17 — Geometric Image Transformations</t>
  </si>
  <si>
    <t xml:space="preserve">resize</t>
  </si>
  <si>
    <t xml:space="preserve">https://docs.opencv.org/4.x/da/d54/group__imgproc__transform.html</t>
  </si>
  <si>
    <t xml:space="preserve">71</t>
  </si>
  <si>
    <t xml:space="preserve">Digital zoom</t>
  </si>
  <si>
    <t xml:space="preserve">§§7.12.4.3.1–7.12.4.3.2</t>
  </si>
  <si>
    <t xml:space="preserve">Implement zoom as a centered/user-selected crop followed by resampling; expose the effective field of view and clamp to calibrated regions.</t>
  </si>
  <si>
    <t xml:space="preserve">Automated tests and representative RAW fixtures demonstrate digital zoom across declared modes, with documented tolerances and no regression in adjacent stages.</t>
  </si>
  <si>
    <t xml:space="preserve">Python module, typed configuration and tests for digital zoom</t>
  </si>
  <si>
    <t xml:space="preserve">resize/remap</t>
  </si>
  <si>
    <t xml:space="preserve">72</t>
  </si>
  <si>
    <t xml:space="preserve">YUV 4:4:4 / 4:2:2 / 4:2:0 outputs</t>
  </si>
  <si>
    <t xml:space="preserve">pp. 7–9</t>
  </si>
  <si>
    <t xml:space="preserve">Use the specified luma/chroma equations, co-siting and quantization ranges; make subsampling and chroma siting explicit metadata.</t>
  </si>
  <si>
    <t xml:space="preserve">Automated tests and representative RAW fixtures demonstrate yuv 4:4:4 / 4:2:2 / 4:2:0 outputs across declared modes, with documented tolerances and no regression in adjacent stages.</t>
  </si>
  <si>
    <t xml:space="preserve">Python module, typed configuration and tests for yuv 4:4:4 / 4:2:2 / 4:2:0 outputs</t>
  </si>
  <si>
    <t xml:space="preserve">§7.12.4.3.3</t>
  </si>
  <si>
    <t xml:space="preserve">https://docs.kernel.org/admin-guide/media/mali-c55.html#:~:text=If%20we%20need%20to%20output%20YUV%20data</t>
  </si>
  <si>
    <t xml:space="preserve">73</t>
  </si>
  <si>
    <t xml:space="preserve">Rotation and mirroring</t>
  </si>
  <si>
    <t xml:space="preserve">S33 — Operations on arrays</t>
  </si>
  <si>
    <t xml:space="preserve">flip and rotate</t>
  </si>
  <si>
    <t xml:space="preserve">Implement exact 90-degree rotations and horizontal/vertical flips without interpolation; update orientation metadata and CFA coordinates for RAW outputs.</t>
  </si>
  <si>
    <t xml:space="preserve">Automated tests and representative RAW fixtures demonstrate rotation and mirroring across declared modes, with documented tolerances and no regression in adjacent stages.</t>
  </si>
  <si>
    <t xml:space="preserve">Python module, typed configuration and tests for rotation and mirroring</t>
  </si>
  <si>
    <t xml:space="preserve">https://docs.opencv.org/4.x/d2/de8/group__core__array.html#:~:text=Rotates%20a%202D%20array</t>
  </si>
  <si>
    <t xml:space="preserve">74</t>
  </si>
  <si>
    <t xml:space="preserve">Lens-distortion correction</t>
  </si>
  <si>
    <t xml:space="preserve">S18 — Camera Calibration</t>
  </si>
  <si>
    <t xml:space="preserve">Calibration and undistortion sections</t>
  </si>
  <si>
    <t xml:space="preserve">Calibrate intrinsic/distortion coefficients, precompute maps, and use remap per frame; retain crop/valid-pixel ROI information.</t>
  </si>
  <si>
    <t xml:space="preserve">Automated tests and representative RAW fixtures demonstrate lens-distortion correction across declared modes, with documented tolerances and no regression in adjacent stages.</t>
  </si>
  <si>
    <t xml:space="preserve">Python module, typed configuration and tests for lens-distortion correction</t>
  </si>
  <si>
    <t xml:space="preserve">https://docs.opencv.org/4.x/dc/dbb/tutorial_py_calibration.html</t>
  </si>
  <si>
    <t xml:space="preserve">75</t>
  </si>
  <si>
    <t xml:space="preserve">Fisheye dewarping</t>
  </si>
  <si>
    <t xml:space="preserve">S19 — Fisheye camera model</t>
  </si>
  <si>
    <t xml:space="preserve">calibrate / initUndistortRectifyMap / undistortImage</t>
  </si>
  <si>
    <t xml:space="preserve">Use the fisheye model for very wide lenses, calibrate with wide field coverage and generate maps for the chosen balance/FOV.</t>
  </si>
  <si>
    <t xml:space="preserve">Automated tests and representative RAW fixtures demonstrate fisheye dewarping across declared modes, with documented tolerances and no regression in adjacent stages.</t>
  </si>
  <si>
    <t xml:space="preserve">Python module, typed configuration and tests for fisheye dewarping</t>
  </si>
  <si>
    <t xml:space="preserve">https://docs.opencv.org/4.x/db/d58/group__calib3d__fisheye.html</t>
  </si>
  <si>
    <t xml:space="preserve">76</t>
  </si>
  <si>
    <t xml:space="preserve">Rolling-shutter correction</t>
  </si>
  <si>
    <t xml:space="preserve">S20 — Digital Video Stabilization and Rolling Shutter Correction using Gyroscopes</t>
  </si>
  <si>
    <t xml:space="preserve">pp. 2–4</t>
  </si>
  <si>
    <t xml:space="preserve">Integrate gyro angular velocity with calibrated delay/readout time, compute a row-time camera orientation, and mesh-warp rows to a common virtual camera.</t>
  </si>
  <si>
    <t xml:space="preserve">Automated tests and representative RAW fixtures demonstrate rolling-shutter correction across declared modes, with documented tolerances and no regression in adjacent stages.</t>
  </si>
  <si>
    <t xml:space="preserve">Python module, typed configuration and tests for rolling-shutter correction</t>
  </si>
  <si>
    <t xml:space="preserve">https://graphics.stanford.edu/papers/stabilization/karpenko_gyro.pdf</t>
  </si>
  <si>
    <t xml:space="preserve">77</t>
  </si>
  <si>
    <t xml:space="preserve">Electronic image stabilization (EIS)</t>
  </si>
  <si>
    <t xml:space="preserve">pp. 2–4, 6–7</t>
  </si>
  <si>
    <t xml:space="preserve">Estimate camera orientation, low-pass the desired path, warp into the stabilized virtual camera, then crop/zoom to hide invalid borders.</t>
  </si>
  <si>
    <t xml:space="preserve">Automated tests and representative RAW fixtures demonstrate electronic image stabilization (eis) across declared modes, with documented tolerances and no regression in adjacent stages.</t>
  </si>
  <si>
    <t xml:space="preserve">Python module, typed configuration and tests for electronic image stabilization (eis)</t>
  </si>
  <si>
    <t xml:space="preserve">78</t>
  </si>
  <si>
    <t xml:space="preserve">Multiple output paths</t>
  </si>
  <si>
    <t xml:space="preserve">§§7.12.2–7.12.4.5</t>
  </si>
  <si>
    <t xml:space="preserve">Allow simultaneous full-resolution and downscaled outputs, with optional RAW bypass; synchronize sequence numbers and share per-frame metadata.</t>
  </si>
  <si>
    <t xml:space="preserve">Automated tests and representative RAW fixtures demonstrate multiple output paths across declared modes, with documented tolerances and no regression in adjacent stages.</t>
  </si>
  <si>
    <t xml:space="preserve">Python module, typed configuration and tests for multiple output paths</t>
  </si>
  <si>
    <t xml:space="preserve">https://docs.kernel.org/admin-guide/media/mali-c55.html#:~:text=Following%20which%20images%20can%20be%20captured%20from%20both</t>
  </si>
  <si>
    <t xml:space="preserve">79</t>
  </si>
  <si>
    <t xml:space="preserve">10. Drone-specific</t>
  </si>
  <si>
    <t xml:space="preserve">4. Drone/computational-imaging extensions</t>
  </si>
  <si>
    <t xml:space="preserve">Drone or handheld product with a camera-aligned IMU</t>
  </si>
  <si>
    <t xml:space="preserve">Gyro-assisted stabilization</t>
  </si>
  <si>
    <t xml:space="preserve">pp. 2–4, 6</t>
  </si>
  <si>
    <t xml:space="preserve">Consume aligned and calibrated inertial angular velocity, integrate camera rotations and drive the stabilization warp from the estimated motion.</t>
  </si>
  <si>
    <t xml:space="preserve">On recorded motion sequences with item 79a complete, the stabilized output meets residual-jitter and crop/invalid-border limits without timestamp compensation embedded in this module.</t>
  </si>
  <si>
    <t xml:space="preserve">79a</t>
  </si>
  <si>
    <t xml:space="preserve">Python module, typed configuration and tests for gyro-assisted stabilization</t>
  </si>
  <si>
    <t xml:space="preserve">Any EIS or gyro-assisted rolling-shutter configuration</t>
  </si>
  <si>
    <t xml:space="preserve">IMU-camera timestamp synchronization and delay calibration</t>
  </si>
  <si>
    <t xml:space="preserve">Time-synchronize camera start-of-exposure and row timestamps with IMU samples on one clock; estimate fixed delay, clock offset/drift and camera-to-IMU rotation, then publish the calibrated transform and uncertainty separately from stabilization.</t>
  </si>
  <si>
    <t xml:space="preserve">Independent motion sequences show timestamp/rotation residuals within product limits across temperature and run duration; item 79 consumes the artifact but cannot satisfy this row by itself.</t>
  </si>
  <si>
    <t xml:space="preserve">Record synchronized camera/IMU motion targets, fit offset/drift/delay and extrinsics, then validate on withheld sequences and report residual timing and reprojection error.</t>
  </si>
  <si>
    <t xml:space="preserve">102, 104</t>
  </si>
  <si>
    <t xml:space="preserve">IMU/camera synchronization calibrator, clock model, extrinsics artifact and regression dataset</t>
  </si>
  <si>
    <t xml:space="preserve">80</t>
  </si>
  <si>
    <t xml:space="preserve">Gyro-assisted rolling-shutter correction</t>
  </si>
  <si>
    <t xml:space="preserve">Use unsmoothed intra-exposure rotations for row correction while using the smoothed path only for inter-frame stabilization.</t>
  </si>
  <si>
    <t xml:space="preserve">Automated tests and representative RAW fixtures demonstrate gyro-assisted rolling-shutter correction across declared modes, with documented tolerances and no regression in adjacent stages.</t>
  </si>
  <si>
    <t xml:space="preserve">Python module, typed configuration and tests for gyro-assisted rolling-shutter correction</t>
  </si>
  <si>
    <t xml:space="preserve">81</t>
  </si>
  <si>
    <t xml:space="preserve">Wide-angle calibration</t>
  </si>
  <si>
    <t xml:space="preserve">calibrate and estimateNewCameraMatrixForUndistortRectify</t>
  </si>
  <si>
    <t xml:space="preserve">Calibrate the actual lens/sensor/housing at focus and resolution modes used in flight; retain per-mode maps and valid FOV.</t>
  </si>
  <si>
    <t xml:space="preserve">Automated tests and representative RAW fixtures demonstrate wide-angle calibration across declared modes, with documented tolerances and no regression in adjacent stages.</t>
  </si>
  <si>
    <t xml:space="preserve">Python module, typed configuration and tests for wide-angle calibration</t>
  </si>
  <si>
    <t xml:space="preserve">82</t>
  </si>
  <si>
    <t xml:space="preserve">Horizon-stable crop</t>
  </si>
  <si>
    <t xml:space="preserve">pp. 2–4, 7</t>
  </si>
  <si>
    <t xml:space="preserve">Choose a virtual orientation with roll constrained to the gravity/horizon estimate, warp into it, and calculate a safe crop over the stabilization window.</t>
  </si>
  <si>
    <t xml:space="preserve">Automated tests and representative RAW fixtures demonstrate horizon-stable crop across declared modes, with documented tolerances and no regression in adjacent stages.</t>
  </si>
  <si>
    <t xml:space="preserve">Python module, typed configuration and tests for horizon-stable crop</t>
  </si>
  <si>
    <t xml:space="preserve">83</t>
  </si>
  <si>
    <t xml:space="preserve">Frame-to-frame exposure consistency</t>
  </si>
  <si>
    <t xml:space="preserve">p. 13; pp. 31–37</t>
  </si>
  <si>
    <t xml:space="preserve">Rate-limit and IIR-filter AE targets; detect scene cuts separately so ordinary vibration or small ROI changes do not cause pumping.</t>
  </si>
  <si>
    <t xml:space="preserve">Automated tests and representative RAW fixtures demonstrate frame-to-frame exposure consistency across declared modes, with documented tolerances and no regression in adjacent stages.</t>
  </si>
  <si>
    <t xml:space="preserve">Python module, typed configuration and tests for frame-to-frame exposure consistency</t>
  </si>
  <si>
    <t xml:space="preserve">84</t>
  </si>
  <si>
    <t xml:space="preserve">Frame-to-frame color consistency</t>
  </si>
  <si>
    <t xml:space="preserve">p. 13; pp. 26–31, 43–44</t>
  </si>
  <si>
    <t xml:space="preserve">Filter AWB gains/CCT and the resulting CCM; update all dependent color stages from one coherent per-frame state.</t>
  </si>
  <si>
    <t xml:space="preserve">Automated tests and representative RAW fixtures demonstrate frame-to-frame color consistency across declared modes, with documented tolerances and no regression in adjacent stages.</t>
  </si>
  <si>
    <t xml:space="preserve">Python module, typed configuration and tests for frame-to-frame color consistency</t>
  </si>
  <si>
    <t xml:space="preserve">85</t>
  </si>
  <si>
    <t xml:space="preserve">Vibration and high-frequency motion handling</t>
  </si>
  <si>
    <t xml:space="preserve">pp. 1–2, 6–7</t>
  </si>
  <si>
    <t xml:space="preserve">Retain high-rate gyro samples through the exposure for RS correction, reject sensor spikes, and use a causal filter for low-latency preview.</t>
  </si>
  <si>
    <t xml:space="preserve">Automated tests and representative RAW fixtures demonstrate vibration and high-frequency motion handling across declared modes, with documented tolerances and no regression in adjacent stages.</t>
  </si>
  <si>
    <t xml:space="preserve">Python module, typed configuration and tests for vibration and high-frequency motion handling</t>
  </si>
  <si>
    <t xml:space="preserve">86</t>
  </si>
  <si>
    <t xml:space="preserve">Multi-camera color/exposure matching</t>
  </si>
  <si>
    <t xml:space="preserve">pp. 50–51; pp. 31–44</t>
  </si>
  <si>
    <t xml:space="preserve">Synchronize frame starts, calibrate each camera to a common color space, then coordinate or master/slave AE/AWB targets and report residual mismatch.</t>
  </si>
  <si>
    <t xml:space="preserve">Automated tests and representative RAW fixtures demonstrate multi-camera color/exposure matching across declared modes, with documented tolerances and no regression in adjacent stages.</t>
  </si>
  <si>
    <t xml:space="preserve">Python module, typed configuration and tests for multi-camera color/exposure matching</t>
  </si>
  <si>
    <t xml:space="preserve">87</t>
  </si>
  <si>
    <t xml:space="preserve">Low-latency navigation mode</t>
  </si>
  <si>
    <t xml:space="preserve">p. 7</t>
  </si>
  <si>
    <t xml:space="preserve">Use a truncated causal stabilization filter, bound buffering and disable nonessential expensive stages while retaining unsmoothed motion for RS correction.</t>
  </si>
  <si>
    <t xml:space="preserve">Automated tests and representative RAW fixtures demonstrate low-latency navigation mode across declared modes, with documented tolerances and no regression in adjacent stages.</t>
  </si>
  <si>
    <t xml:space="preserve">Python module, typed configuration and tests for low-latency navigation mode</t>
  </si>
  <si>
    <t xml:space="preserve">88</t>
  </si>
  <si>
    <t xml:space="preserve">11. Tuning and calibration</t>
  </si>
  <si>
    <t xml:space="preserve">Per-sensor tuning profiles</t>
  </si>
  <si>
    <t xml:space="preserve">pp. 11–17, 52–64</t>
  </si>
  <si>
    <t xml:space="preserve">Load one versioned tuning JSON per sensor/module, with registered modular algorithms and repeatable capture/calibration inputs.</t>
  </si>
  <si>
    <t xml:space="preserve">Automated tests and representative RAW fixtures demonstrate per-sensor tuning profiles across declared modes, with documented tolerances and no regression in adjacent stages.</t>
  </si>
  <si>
    <t xml:space="preserve">Python module, typed configuration and tests for per-sensor tuning profiles</t>
  </si>
  <si>
    <t xml:space="preserve">89</t>
  </si>
  <si>
    <t xml:space="preserve">Per-lens tuning profiles</t>
  </si>
  <si>
    <t xml:space="preserve">pp. 39, 106–110, 115</t>
  </si>
  <si>
    <t xml:space="preserve">Key lens shading, distortion, CA and vignette corrections by lens identity and mode; store LensInfo and correction maps/coefficients.</t>
  </si>
  <si>
    <t xml:space="preserve">Automated tests and representative RAW fixtures demonstrate per-lens tuning profiles across declared modes, with documented tolerances and no regression in adjacent stages.</t>
  </si>
  <si>
    <t xml:space="preserve">Python module, typed configuration and tests for per-lens tuning profiles</t>
  </si>
  <si>
    <t xml:space="preserve">pp. 56–57</t>
  </si>
  <si>
    <t xml:space="preserve">90</t>
  </si>
  <si>
    <t xml:space="preserve">Tuning interpolation by analog gain / ISO</t>
  </si>
  <si>
    <t xml:space="preserve">pp. 21, 23–26</t>
  </si>
  <si>
    <t xml:space="preserve">Use calibrated breakpoints and piecewise-linear interpolation for noise, denoise, sharpening and saturation; validate both nodes and midpoints.</t>
  </si>
  <si>
    <t xml:space="preserve">Automated tests and representative RAW fixtures demonstrate tuning interpolation by analog gain / iso across declared modes, with documented tolerances and no regression in adjacent stages.</t>
  </si>
  <si>
    <t xml:space="preserve">Python module, typed configuration and tests for tuning interpolation by analog gain / iso</t>
  </si>
  <si>
    <t xml:space="preserve">91</t>
  </si>
  <si>
    <t xml:space="preserve">Tuning interpolation by exposure time</t>
  </si>
  <si>
    <t xml:space="preserve">pp. 13, 31–37</t>
  </si>
  <si>
    <t xml:space="preserve">Add exposure-time breakpoints only for stages that measurably depend on integration time; interpolate with the same bounded target framework.</t>
  </si>
  <si>
    <t xml:space="preserve">Automated tests and representative RAW fixtures demonstrate tuning interpolation by exposure time across declared modes, with documented tolerances and no regression in adjacent stages.</t>
  </si>
  <si>
    <t xml:space="preserve">Python module, typed configuration and tests for tuning interpolation by exposure time</t>
  </si>
  <si>
    <t xml:space="preserve">92</t>
  </si>
  <si>
    <t xml:space="preserve">Tuning interpolation by CCT</t>
  </si>
  <si>
    <t xml:space="preserve">pp. 37–44</t>
  </si>
  <si>
    <t xml:space="preserve">Interpolate ALSC and CCM tables using one AWB CCT estimate and clamp outside the calibrated temperature range.</t>
  </si>
  <si>
    <t xml:space="preserve">Automated tests and representative RAW fixtures demonstrate tuning interpolation by cct across declared modes, with documented tolerances and no regression in adjacent stages.</t>
  </si>
  <si>
    <t xml:space="preserve">Python module, typed configuration and tests for tuning interpolation by cct</t>
  </si>
  <si>
    <t xml:space="preserve">93</t>
  </si>
  <si>
    <t xml:space="preserve">Tuning interpolation by sensor mode</t>
  </si>
  <si>
    <t xml:space="preserve">pp. 11, 21</t>
  </si>
  <si>
    <t xml:space="preserve">Route mode changes through SwitchMode and select/scale mode-specific noise, crop, binning and calibration data.</t>
  </si>
  <si>
    <t xml:space="preserve">Automated tests and representative RAW fixtures demonstrate tuning interpolation by sensor mode across declared modes, with documented tolerances and no regression in adjacent stages.</t>
  </si>
  <si>
    <t xml:space="preserve">Python module, typed configuration and tests for tuning interpolation by sensor mode</t>
  </si>
  <si>
    <t xml:space="preserve">94</t>
  </si>
  <si>
    <t xml:space="preserve">Lens-shading calibration tool</t>
  </si>
  <si>
    <t xml:space="preserve">pp. 52–59</t>
  </si>
  <si>
    <t xml:space="preserve">Capture uniform-field images at required illuminants, locate/validate them, generate ALSC tables and support an LSC-only tuning run.</t>
  </si>
  <si>
    <t xml:space="preserve">Automated tests and representative RAW fixtures demonstrate lens-shading calibration tool across declared modes, with documented tolerances and no regression in adjacent stages.</t>
  </si>
  <si>
    <t xml:space="preserve">Python module, typed configuration and tests for lens-shading calibration tool</t>
  </si>
  <si>
    <t xml:space="preserve">95</t>
  </si>
  <si>
    <t xml:space="preserve">CCM calibration tool</t>
  </si>
  <si>
    <t xml:space="preserve">pp. 52–58, 64</t>
  </si>
  <si>
    <t xml:space="preserve">Capture correctly exposed Macbeth charts under measured illuminants, extract patches and solve/validate matrices against reference colors.</t>
  </si>
  <si>
    <t xml:space="preserve">Automated tests and representative RAW fixtures demonstrate ccm calibration tool across declared modes, with documented tolerances and no regression in adjacent stages.</t>
  </si>
  <si>
    <t xml:space="preserve">Python module, typed configuration and tests for ccm calibration tool</t>
  </si>
  <si>
    <t xml:space="preserve">96</t>
  </si>
  <si>
    <t xml:space="preserve">Noise calibration tool</t>
  </si>
  <si>
    <t xml:space="preserve">pp. 52–60</t>
  </si>
  <si>
    <t xml:space="preserve">Capture RAW noise targets, estimate profile slope/offset and write the result into tuning data.</t>
  </si>
  <si>
    <t xml:space="preserve">Automated tests and representative RAW fixtures demonstrate noise calibration tool across declared modes, with documented tolerances and no regression in adjacent stages.</t>
  </si>
  <si>
    <t xml:space="preserve">Python module, typed configuration and tests for noise calibration tool</t>
  </si>
  <si>
    <t xml:space="preserve">97</t>
  </si>
  <si>
    <t xml:space="preserve">Defect-map generation</t>
  </si>
  <si>
    <t xml:space="preserve">Average dark and 50%-illuminated stacks, high-pass PRNU, build logarithmic/accumulated deviation histograms, and flag pixels beyond product thresholds.</t>
  </si>
  <si>
    <t xml:space="preserve">Automated tests and representative RAW fixtures demonstrate defect-map generation across declared modes, with documented tolerances and no regression in adjacent stages.</t>
  </si>
  <si>
    <t xml:space="preserve">Python module, typed configuration and tests for defect-map generation</t>
  </si>
  <si>
    <t xml:space="preserve">98</t>
  </si>
  <si>
    <t xml:space="preserve">Versioned tuning schema</t>
  </si>
  <si>
    <t xml:space="preserve">pp. 11–17</t>
  </si>
  <si>
    <t xml:space="preserve">Define schema version, target, ordered algorithm list and per-module parameters; validate types/ranges and reject unknown incompatible versions.</t>
  </si>
  <si>
    <t xml:space="preserve">Automated tests and representative RAW fixtures demonstrate versioned tuning schema across declared modes, with documented tolerances and no regression in adjacent stages.</t>
  </si>
  <si>
    <t xml:space="preserve">Python module, typed configuration and tests for versioned tuning schema</t>
  </si>
  <si>
    <t xml:space="preserve">99</t>
  </si>
  <si>
    <t xml:space="preserve">Daylight, low-light and HDR presets</t>
  </si>
  <si>
    <t xml:space="preserve">pp. 13–16, 24–26, 48–50</t>
  </si>
  <si>
    <t xml:space="preserve">Create named exposure/control and denoise/HDR modes; presets should select parameter sets, not fork pipeline code.</t>
  </si>
  <si>
    <t xml:space="preserve">Automated tests and representative RAW fixtures demonstrate daylight, low-light and hdr presets across declared modes, with documented tolerances and no regression in adjacent stages.</t>
  </si>
  <si>
    <t xml:space="preserve">Python module, typed configuration and tests for daylight, low-light and hdr presets</t>
  </si>
  <si>
    <t xml:space="preserve">100</t>
  </si>
  <si>
    <t xml:space="preserve">Image-quality regression suite</t>
  </si>
  <si>
    <t xml:space="preserve">S22 — OpenCV Image Quality Analysis</t>
  </si>
  <si>
    <t xml:space="preserve">PSNR, SSIM, GMSD and BRISQUE</t>
  </si>
  <si>
    <t xml:space="preserve">Run golden RAWs through fixed configs; compare numerical arrays and objective metrics, plus artifact-specific crops, at every tuning/code change.</t>
  </si>
  <si>
    <t xml:space="preserve">Automated tests and representative RAW fixtures demonstrate image-quality regression suite across declared modes, with documented tolerances and no regression in adjacent stages.</t>
  </si>
  <si>
    <t xml:space="preserve">Python module, typed configuration and tests for image-quality regression suite</t>
  </si>
  <si>
    <t xml:space="preserve">https://docs.opencv.org/4.x/dc/d25/group__quality.html</t>
  </si>
  <si>
    <t xml:space="preserve">S24 — How to parametrize fixtures and test functions</t>
  </si>
  <si>
    <t xml:space="preserve">@pytest.mark.parametrize</t>
  </si>
  <si>
    <t xml:space="preserve">https://docs.pytest.org/en/stable/how-to/parametrize.html</t>
  </si>
  <si>
    <t xml:space="preserve">101</t>
  </si>
  <si>
    <t xml:space="preserve">Objective-IQ and reference-capture datasets</t>
  </si>
  <si>
    <t xml:space="preserve">pp. 12–16, 21–27</t>
  </si>
  <si>
    <t xml:space="preserve">Maintain controlled dark/flat/chart captures across gain, exposure, CCT and modes, plus representative scenes; record capture metadata and references.</t>
  </si>
  <si>
    <t xml:space="preserve">Automated tests and representative RAW fixtures demonstrate objective-iq and reference-capture datasets across declared modes, with documented tolerances and no regression in adjacent stages.</t>
  </si>
  <si>
    <t xml:space="preserve">Python module, typed configuration and tests for objective-iq and reference-capture datasets</t>
  </si>
  <si>
    <t xml:space="preserve">pp. 53–57</t>
  </si>
  <si>
    <t xml:space="preserve">102</t>
  </si>
  <si>
    <t xml:space="preserve">12. Package/control architecture</t>
  </si>
  <si>
    <t xml:space="preserve">3. Camera product integration</t>
  </si>
  <si>
    <t xml:space="preserve">Per-frame metadata</t>
  </si>
  <si>
    <t xml:space="preserve">pp. 12, 50–51</t>
  </si>
  <si>
    <t xml:space="preserve">Create one metadata object per frame carrying device state, statistics IDs, algorithm statuses, applied parameters and synchronization timestamps.</t>
  </si>
  <si>
    <t xml:space="preserve">Automated tests and representative RAW fixtures demonstrate per-frame metadata across declared modes, with documented tolerances and no regression in adjacent stages.</t>
  </si>
  <si>
    <t xml:space="preserve">Python module, typed configuration and tests for per-frame metadata</t>
  </si>
  <si>
    <t xml:space="preserve">103</t>
  </si>
  <si>
    <t xml:space="preserve">Statistics-to-control feedback loop</t>
  </si>
  <si>
    <t xml:space="preserve">pp. 11, 51</t>
  </si>
  <si>
    <t xml:space="preserve">Separate Process(stats) from Prepare(next settings), preserve frame association and feed sensor exposure/gain updates back outside the algorithm.</t>
  </si>
  <si>
    <t xml:space="preserve">Automated tests and representative RAW fixtures demonstrate statistics-to-control feedback loop across declared modes, with documented tolerances and no regression in adjacent stages.</t>
  </si>
  <si>
    <t xml:space="preserve">Python module, typed configuration and tests for statistics-to-control feedback loop</t>
  </si>
  <si>
    <t xml:space="preserve">104</t>
  </si>
  <si>
    <t xml:space="preserve">Parameter history and delayed-control tracking</t>
  </si>
  <si>
    <t xml:space="preserve">pp. 11–13</t>
  </si>
  <si>
    <t xml:space="preserve">Queue requested and applied sensor/ISP parameters by frame sequence; account for sensor latency before pairing statistics with the settings that produced them.</t>
  </si>
  <si>
    <t xml:space="preserve">Automated tests and representative RAW fixtures demonstrate parameter history and delayed-control tracking across declared modes, with documented tolerances and no regression in adjacent stages.</t>
  </si>
  <si>
    <t xml:space="preserve">Python module, typed configuration and tests for parameter history and delayed-control tracking</t>
  </si>
  <si>
    <t xml:space="preserve">105</t>
  </si>
  <si>
    <t xml:space="preserve">Explicit clipping and range conventions</t>
  </si>
  <si>
    <t xml:space="preserve">p. 99</t>
  </si>
  <si>
    <t xml:space="preserve">Document black subtraction, normalization, headroom and clipping at every stage, including the exact domain and legal range at every module boundary.</t>
  </si>
  <si>
    <t xml:space="preserve">Automated tests and representative RAW fixtures demonstrate explicit clipping and range conventions across declared modes, with documented tolerances and no regression in adjacent stages.</t>
  </si>
  <si>
    <t xml:space="preserve">Python module, typed configuration and tests for explicit clipping and range conventions</t>
  </si>
  <si>
    <t xml:space="preserve">rkisp1 color-processing ranges</t>
  </si>
  <si>
    <t xml:space="preserve">106</t>
  </si>
  <si>
    <t xml:space="preserve">Per-stage enable/bypass</t>
  </si>
  <si>
    <t xml:space="preserve">§7.12.3.1</t>
  </si>
  <si>
    <t xml:space="preserve">Give every module an identity/bypass path with unchanged metadata semantics; support RAW and partial-pipeline taps for diagnosis.</t>
  </si>
  <si>
    <t xml:space="preserve">Automated tests and representative RAW fixtures demonstrate per-stage enable/bypass across declared modes, with documented tolerances and no regression in adjacent stages.</t>
  </si>
  <si>
    <t xml:space="preserve">Python module, typed configuration and tests for per-stage enable/bypass</t>
  </si>
  <si>
    <t xml:space="preserve">https://docs.kernel.org/admin-guide/media/mali-c55.html#:~:text=Tap%20points%20within%20the%20ISP%20allow%20users%20to%20divert%20data</t>
  </si>
  <si>
    <t xml:space="preserve">p. 11</t>
  </si>
  <si>
    <t xml:space="preserve">107</t>
  </si>
  <si>
    <t xml:space="preserve">Configurable stage order with dependency validation</t>
  </si>
  <si>
    <t xml:space="preserve">Run algorithms in the configured order, declare metadata/domain dependencies, and reject orders that violate RAW/RGB/YUV or status prerequisites.</t>
  </si>
  <si>
    <t xml:space="preserve">Automated tests and representative RAW fixtures demonstrate configurable stage order with dependency validation across declared modes, with documented tolerances and no regression in adjacent stages.</t>
  </si>
  <si>
    <t xml:space="preserve">Python module, typed configuration and tests for configurable stage order with dependency validation</t>
  </si>
  <si>
    <t xml:space="preserve">108</t>
  </si>
  <si>
    <t xml:space="preserve">Robust Bayer-pattern and bit-depth support</t>
  </si>
  <si>
    <t xml:space="preserve">pp. 26–29</t>
  </si>
  <si>
    <t xml:space="preserve">Parse CFAPlaneColor/CFALayout, BlackLevel and WhiteLevel instead of assuming RGGB/10-bit; parameterize indexing and normalization.</t>
  </si>
  <si>
    <t xml:space="preserve">Automated tests and representative RAW fixtures demonstrate robust bayer-pattern and bit-depth support across declared modes, with documented tolerances and no regression in adjacent stages.</t>
  </si>
  <si>
    <t xml:space="preserve">Python module, typed configuration and tests for robust bayer-pattern and bit-depth support</t>
  </si>
  <si>
    <t xml:space="preserve">lines 56–69</t>
  </si>
  <si>
    <t xml:space="preserve">109</t>
  </si>
  <si>
    <t xml:space="preserve">DNG/RAW metadata import</t>
  </si>
  <si>
    <t xml:space="preserve">pp. 26–62, 99–120</t>
  </si>
  <si>
    <t xml:space="preserve">Parse required calibration, crop, black/white, CFA, noise and opcode tags into a typed sensor/profile object before running the pipeline.</t>
  </si>
  <si>
    <t xml:space="preserve">Automated tests and representative RAW fixtures demonstrate dng/raw metadata import across declared modes, with documented tolerances and no regression in adjacent stages.</t>
  </si>
  <si>
    <t xml:space="preserve">Python module, typed configuration and tests for dng/raw metadata import</t>
  </si>
  <si>
    <t xml:space="preserve">110</t>
  </si>
  <si>
    <t xml:space="preserve">Intermediate-stage export</t>
  </si>
  <si>
    <t xml:space="preserve">S31 — numpy.save</t>
  </si>
  <si>
    <t xml:space="preserve">numpy.save</t>
  </si>
  <si>
    <t xml:space="preserve">Export typed, lossless arrays with stage name, frame ID, domain, shape, dtype and config hash; optionally add viewable PNG/TIFF exports.</t>
  </si>
  <si>
    <t xml:space="preserve">Automated tests and representative RAW fixtures demonstrate intermediate-stage export across declared modes, with documented tolerances and no regression in adjacent stages.</t>
  </si>
  <si>
    <t xml:space="preserve">Python module, typed configuration and tests for intermediate-stage export</t>
  </si>
  <si>
    <t xml:space="preserve">https://numpy.org/doc/stable/reference/generated/numpy.save.html</t>
  </si>
  <si>
    <t xml:space="preserve">S34 — Image file reading and writing</t>
  </si>
  <si>
    <t xml:space="preserve">imwrite/imwritemulti</t>
  </si>
  <si>
    <t xml:space="preserve">https://docs.opencv.org/4.x/d4/da8/group__imgcodecs.html</t>
  </si>
  <si>
    <t xml:space="preserve">111</t>
  </si>
  <si>
    <t xml:space="preserve">Reproducible configuration snapshots</t>
  </si>
  <si>
    <t xml:space="preserve">pp. 13–17</t>
  </si>
  <si>
    <t xml:space="preserve">Persist the complete versioned tuning JSON, runtime controls, software revision and input metadata with every regression/output so a run can be recreated.</t>
  </si>
  <si>
    <t xml:space="preserve">Automated tests and representative RAW fixtures demonstrate reproducible configuration snapshots across declared modes, with documented tolerances and no regression in adjacent stages.</t>
  </si>
  <si>
    <t xml:space="preserve">Python module, typed configuration and tests for reproducible configuration snapshots</t>
  </si>
  <si>
    <t xml:space="preserve">112</t>
  </si>
  <si>
    <t xml:space="preserve">13. Specific openISP fixes</t>
  </si>
  <si>
    <t xml:space="preserve">5. Engineering, validation, performance, licensing, release readiness</t>
  </si>
  <si>
    <t xml:space="preserve">Split AWB estimation from white-balance gain application</t>
  </si>
  <si>
    <t xml:space="preserve">rkisp1 AWB measurement and gain structs</t>
  </si>
  <si>
    <t xml:space="preserve">Create an AWB estimator that consumes AWB statistics and emits gains/CCT; keep WBGC as a pure gain-application module.</t>
  </si>
  <si>
    <t xml:space="preserve">Automated tests and representative RAW fixtures demonstrate split awb estimation from white-balance gain application across declared modes, with documented tolerances and no regression in adjacent stages.</t>
  </si>
  <si>
    <t xml:space="preserve">Python module, typed configuration and tests for split awb estimation from white-balance gain application</t>
  </si>
  <si>
    <t xml:space="preserve">S27 — openISP AWB gain module at reviewed commit</t>
  </si>
  <si>
    <t xml:space="preserve">lines 4–63</t>
  </si>
  <si>
    <t xml:space="preserve">https://github.com/cruxopen/openISP/blob/d4947e1aa5f4af83c3640131dbca8a675b613ec6/model/awb.py#L4-L63</t>
  </si>
  <si>
    <t xml:space="preserve">113</t>
  </si>
  <si>
    <t xml:space="preserve">Connect gamma output to the downstream color-space conversion</t>
  </si>
  <si>
    <t xml:space="preserve">S26 — openISP pipeline at reviewed commit</t>
  </si>
  <si>
    <t xml:space="preserve">lines 263–270</t>
  </si>
  <si>
    <t xml:space="preserve">Pass rgbimg_gc, not rgbimg_ccm, into CSC (unless gamma is intentionally bypassed), then add a stage-output assertion/test.</t>
  </si>
  <si>
    <t xml:space="preserve">Automated tests and representative RAW fixtures demonstrate connect gamma output to the downstream color-space conversion across declared modes, with documented tolerances and no regression in adjacent stages.</t>
  </si>
  <si>
    <t xml:space="preserve">Python module, typed configuration and tests for connect gamma output to the downstream color-space conversion</t>
  </si>
  <si>
    <t xml:space="preserve">https://github.com/cruxopen/openISP/blob/d4947e1aa5f4af83c3640131dbca8a675b613ec6/isp_pipeline.py#L263-L270</t>
  </si>
  <si>
    <t xml:space="preserve">rkisp1 gamma-out configuration</t>
  </si>
  <si>
    <t xml:space="preserve">https://docs.kernel.org/userspace-api/media/v4l/metafmt-rkisp1.html#:~:text=Configuration%20used%20by%20Gamma%20Out%20correction</t>
  </si>
  <si>
    <t xml:space="preserve">114</t>
  </si>
  <si>
    <t xml:space="preserve">Fix hue rotation being overwritten by saturation</t>
  </si>
  <si>
    <t xml:space="preserve">S28 — openISP hue/saturation module at reviewed commit</t>
  </si>
  <si>
    <t xml:space="preserve">lines 31–34</t>
  </si>
  <si>
    <t xml:space="preserve">Apply saturation to the already hue-rotated hsc_img chroma channels, or combine rotation and scale in one matrix; do not recompute from self.img.</t>
  </si>
  <si>
    <t xml:space="preserve">Automated tests and representative RAW fixtures demonstrate fix hue rotation being overwritten by saturation across declared modes, with documented tolerances and no regression in adjacent stages.</t>
  </si>
  <si>
    <t xml:space="preserve">Python module, typed configuration and tests for fix hue rotation being overwritten by saturation</t>
  </si>
  <si>
    <t xml:space="preserve">https://github.com/cruxopen/openISP/blob/d4947e1aa5f4af83c3640131dbca8a675b613ec6/model/hsc.py#L31-L34</t>
  </si>
  <si>
    <t xml:space="preserve">rkisp1 hue/saturation controls</t>
  </si>
  <si>
    <t xml:space="preserve">115</t>
  </si>
  <si>
    <t xml:space="preserve">Fix the GRBG path in chroma-noise filtering</t>
  </si>
  <si>
    <t xml:space="preserve">S29 — openISP chroma-noise module at reviewed commit</t>
  </si>
  <si>
    <t xml:space="preserve">lines 154–164</t>
  </si>
  <si>
    <t xml:space="preserve">Use the same 2-D indexing and Bayer-coordinate convention as the other branches; correct the blue sample offset and remove [:] indexing on cnf_img.</t>
  </si>
  <si>
    <t xml:space="preserve">Automated tests and representative RAW fixtures demonstrate fix the grbg path in chroma-noise filtering across declared modes, with documented tolerances and no regression in adjacent stages.</t>
  </si>
  <si>
    <t xml:space="preserve">Python module, typed configuration and tests for fix the grbg path in chroma-noise filtering</t>
  </si>
  <si>
    <t xml:space="preserve">https://github.com/cruxopen/openISP/blob/d4947e1aa5f4af83c3640131dbca8a675b613ec6/model/cnf.py#L154-L164</t>
  </si>
  <si>
    <t xml:space="preserve">S30 — openISP CFA module at reviewed commit</t>
  </si>
  <si>
    <t xml:space="preserve">lines 94–103</t>
  </si>
  <si>
    <t xml:space="preserve">https://github.com/cruxopen/openISP/blob/d4947e1aa5f4af83c3640131dbca8a675b613ec6/model/cfa.py#L94-L103</t>
  </si>
  <si>
    <t xml:space="preserve">116</t>
  </si>
  <si>
    <t xml:space="preserve">Validate all four Bayer patterns across every Bayer-domain module</t>
  </si>
  <si>
    <t xml:space="preserve">Use a shared Bayer mask/index helper for RGGB, BGGR, GRBG and GBRG; parametrize each Bayer-stage test over all four patterns.</t>
  </si>
  <si>
    <t xml:space="preserve">Automated tests and representative RAW fixtures demonstrate validate all four bayer patterns across every bayer-domain module across declared modes, with documented tolerances and no regression in adjacent stages.</t>
  </si>
  <si>
    <t xml:space="preserve">Python module, typed configuration and tests for validate all four bayer patterns across every bayer-domain module</t>
  </si>
  <si>
    <t xml:space="preserve">https://github.com/colour-science/colour-demosaicing/blob/7bff324983fb77b41444fda3bf922e354d386d1c/colour_demosaicing/bayer/demosaicing/menon2007.py#L56-L69</t>
  </si>
  <si>
    <t xml:space="preserve">lines 64–103</t>
  </si>
  <si>
    <t xml:space="preserve">https://github.com/cruxopen/openISP/blob/d4947e1aa5f4af83c3640131dbca8a675b613ec6/model/cfa.py#L64-L103</t>
  </si>
  <si>
    <t xml:space="preserve">117</t>
  </si>
  <si>
    <t xml:space="preserve">Add numerical and image-regression tests</t>
  </si>
  <si>
    <t xml:space="preserve">Parametrize patterns, bit depths and modes; use array tolerances for stages and PSNR/SSIM plus golden crops for end-to-end output.</t>
  </si>
  <si>
    <t xml:space="preserve">Automated tests and representative RAW fixtures demonstrate add numerical and image-regression tests across declared modes, with documented tolerances and no regression in adjacent stages.</t>
  </si>
  <si>
    <t xml:space="preserve">Python module, typed configuration and tests for add numerical and image-regression tests</t>
  </si>
  <si>
    <t xml:space="preserve">S23 — numpy.testing.assert_allclose</t>
  </si>
  <si>
    <t xml:space="preserve">assert_allclose</t>
  </si>
  <si>
    <t xml:space="preserve">https://numpy.org/doc/stable/reference/generated/numpy.testing.assert_allclose.html</t>
  </si>
  <si>
    <t xml:space="preserve">118</t>
  </si>
  <si>
    <t xml:space="preserve">Sensors exposing native multi-exposure, conversion-gain or split-pixel HDR</t>
  </si>
  <si>
    <t xml:space="preserve">XL</t>
  </si>
  <si>
    <t xml:space="preserve">Sensor-native HDR mode descriptor and deinterleaving</t>
  </si>
  <si>
    <t xml:space="preserve">S35 — Security Camera Image Sensor Technology — DOL HDR and Clear HDR</t>
  </si>
  <si>
    <t xml:space="preserve">DOL HDR and Clear HDR sections</t>
  </si>
  <si>
    <t xml:space="preserve">Represent the sensor mode explicitly: exposure count, DOL/staggered/LBMF/DCG/split-pixel topology, line or plane ordering, embedded-metadata locations, blanking and per-exposure timing. Deinterleave into typed exposure planes before normalization.</t>
  </si>
  <si>
    <t xml:space="preserve">Golden packed RAW fixtures for every supported mode decode into correctly sized, correctly ordered exposure/gain planes with validated timestamps, no line leakage and round-trip metadata fidelity.</t>
  </si>
  <si>
    <t xml:space="preserve">Bit-exact decoder tests using vendor-provided captures and synthetic line/plane markers for each mode.</t>
  </si>
  <si>
    <t xml:space="preserve">1, 4, 105</t>
  </si>
  <si>
    <t xml:space="preserve">Sensor HDR mode schema, unpacker/deinterleaver and golden fixtures</t>
  </si>
  <si>
    <t xml:space="preserve">https://www.sony-semicon.com/en/technology/security/index.html#:~:text=DOL%20HDR</t>
  </si>
  <si>
    <t xml:space="preserve">S36 — Super-Exposure Pixels Mitigate LED Flicker in the Most Demanding Automotive Environments</t>
  </si>
  <si>
    <t xml:space="preserve">https://www.onsemi.com/download/white-papers/pdf/tnd6449-d.pdf</t>
  </si>
  <si>
    <t xml:space="preserve">Sensor datasheet/register map, CSI-2 packing and embedded-metadata definition for every supported HDR mode</t>
  </si>
  <si>
    <t xml:space="preserve">119</t>
  </si>
  <si>
    <t xml:space="preserve">Every sensor-native HDR mode</t>
  </si>
  <si>
    <t xml:space="preserve">Per-exposure black, white, linearization and conversion-gain normalization</t>
  </si>
  <si>
    <t xml:space="preserve">pp. 27, 29, 99</t>
  </si>
  <si>
    <t xml:space="preserve">Apply the correct black level, white level, response linearization, analog/digital gain and conversion-gain calibration to every HDR plane before ratios or blending. Keep plane identity and uncertainty in metadata.</t>
  </si>
  <si>
    <t xml:space="preserve">After normalization, flat fields from every exposure/gain path agree within calibrated radiometric and channel tolerances over signal level, gain and temperature; saturation and invalid samples are flagged.</t>
  </si>
  <si>
    <t xml:space="preserve">Dark/flat exposure sweeps for every path with cross-plane ratio residual plots and saturation-mask checks.</t>
  </si>
  <si>
    <t xml:space="preserve">1, 2, 4, 118</t>
  </si>
  <si>
    <t xml:space="preserve">HDR plane normalizer, calibration tables and radiometric conformance tests</t>
  </si>
  <si>
    <t xml:space="preserve">DOL HDR / Clear HDR sections</t>
  </si>
  <si>
    <t xml:space="preserve">https://www.sony-semicon.com/en/technology/security/index.html</t>
  </si>
  <si>
    <t xml:space="preserve">Per-mode/per-exposure black, saturation, response, gain-ratio and temperature calibration supplied or measured for the target sensor</t>
  </si>
  <si>
    <t xml:space="preserve">120</t>
  </si>
  <si>
    <t xml:space="preserve">Native or bracketed HDR capture with controllable exposure ratios</t>
  </si>
  <si>
    <t xml:space="preserve">HDR AE exposure and gain-ratio control</t>
  </si>
  <si>
    <t xml:space="preserve">pp. 31–37, 48–50</t>
  </si>
  <si>
    <t xml:space="preserve">Extend AE to choose long/short integration times and analog/digital gains jointly, subject to frame time, motion blur, saturation, minimum SNR, sensor ratio limits and flicker/LFM mode. Track the settings actually applied to each plane.</t>
  </si>
  <si>
    <t xml:space="preserve">Across scripted luminance ramps, highlights, motion and PWM targets, the controller converges without oscillation, respects all sensor/frame constraints and meets product shadow-SNR and highlight-clipping limits.</t>
  </si>
  <si>
    <t xml:space="preserve">Closed-loop simulator plus hardware luminance/PWM/motion sweeps; log requested and applied settings by frame/exposure.</t>
  </si>
  <si>
    <t xml:space="preserve">12, 13, 18, 118, 119</t>
  </si>
  <si>
    <t xml:space="preserve">HDR AE policy/controller, constraint model, simulator and convergence tests</t>
  </si>
  <si>
    <t xml:space="preserve">pp. 2–5</t>
  </si>
  <si>
    <t xml:space="preserve">Sensor exposure/gain constraints, latency model, legal HDR ratios and LFM-mode interaction from the target sensor integration guide</t>
  </si>
  <si>
    <t xml:space="preserve">121</t>
  </si>
  <si>
    <t xml:space="preserve">Every sensor-native HDR mode that exposes multiple planes or gain paths</t>
  </si>
  <si>
    <t xml:space="preserve">Sensor-native HDR merge, seam and motion handling</t>
  </si>
  <si>
    <t xml:space="preserve">pp. 2–6</t>
  </si>
  <si>
    <t xml:space="preserve">Map normalized planes to a common radiometric response, generate saturation/noise/motion confidence, and blend through transition regions without brightness or color seams. Detect staggered-exposure motion and fall back to a trusted plane when correspondence is unreliable.</t>
  </si>
  <si>
    <t xml:space="preserve">Step wedges and moving HDR scenes show monotonic response, no visible or metric-detectable merge seam, bounded ghost/color error and documented fallback behavior at invalid transitions.</t>
  </si>
  <si>
    <t xml:space="preserve">Static wedge, moving-edge, flickering-light and high-temperature suites with seam residual, ghost and ΔE metrics.</t>
  </si>
  <si>
    <t xml:space="preserve">31, 32, 118, 119, 120</t>
  </si>
  <si>
    <t xml:space="preserve">Native-HDR merger, confidence masks, sensor tuning and artifact-specific regression set</t>
  </si>
  <si>
    <t xml:space="preserve">Vendor merge guidance, valid-pixel masks, transition points and per-path spatial/color calibration for the selected sensor mode</t>
  </si>
  <si>
    <t xml:space="preserve">122</t>
  </si>
  <si>
    <t xml:space="preserve">Any product considering Quad Bayer, RGBW, RCCB or another non-2×2 CFA</t>
  </si>
  <si>
    <t xml:space="preserve">Generic CFA descriptor beyond 2×2 Bayer</t>
  </si>
  <si>
    <t xml:space="preserve">Replace Bayer-only enums with a repeating-cell descriptor containing dimensions, plane colors, sample positions and semantic channel roles. Make masks, crops, rotations, statistics and metadata consume that one descriptor.</t>
  </si>
  <si>
    <t xml:space="preserve">Property tests over representative repeating cells prove mask coverage, crop/rotate phase updates and channel accounting; existing four Bayer patterns remain bit-equivalent.</t>
  </si>
  <si>
    <t xml:space="preserve">Parameterized synthetic impulse/mask tests plus representative RAW fixtures for every declared CFA.</t>
  </si>
  <si>
    <t xml:space="preserve">1, 108</t>
  </si>
  <si>
    <t xml:space="preserve">Generic CFA schema and shared mask/geometry/statistics utilities</t>
  </si>
  <si>
    <t xml:space="preserve">Bayer conversion-code limitations</t>
  </si>
  <si>
    <t xml:space="preserve">Exact CFA cell and pixel-phase definition from each target sensor datasheet</t>
  </si>
  <si>
    <t xml:space="preserve">123</t>
  </si>
  <si>
    <t xml:space="preserve">Quad-Bayer/Tetracell sensors</t>
  </si>
  <si>
    <t xml:space="preserve">Quad-Bayer/Tetracell binning and remosaic</t>
  </si>
  <si>
    <t xml:space="preserve">S37 — Quad Bayer Coding</t>
  </si>
  <si>
    <t xml:space="preserve">Quad Bayer Coding, binning and remosaic sections</t>
  </si>
  <si>
    <t xml:space="preserve">Support both same-colour 2×2 binning and full-resolution remosaic. Preserve the native 4×4 phase, select a mode-appropriate noise/alias strategy, and expose output sampling geometry to downstream calibration.</t>
  </si>
  <si>
    <t xml:space="preserve">Binned and remosaiced outputs match vendor/reference fixtures within declared radiometric and IQ tolerances, maintain correct phase after crop/rotate, and do not regress standard Bayer paths.</t>
  </si>
  <si>
    <t xml:space="preserve">Synthetic zone plates/color edges plus vendor RAW fixtures; compare MTF, aliasing, false color, noise and phase metadata.</t>
  </si>
  <si>
    <t xml:space="preserve">Quad-CFA binning/remosaic modules, sensor profile and IQ regression corpus</t>
  </si>
  <si>
    <t xml:space="preserve">https://www.sony-semicon.com/en/technology/mobile/quad-bayer-coding.html</t>
  </si>
  <si>
    <t xml:space="preserve">Vendor CFA map, binning/remosaic mode definition, phase-dependent calibration and any licensed remosaic requirements</t>
  </si>
  <si>
    <t xml:space="preserve">124</t>
  </si>
  <si>
    <t xml:space="preserve">RGBW, RCCB or other clear-pixel sensors</t>
  </si>
  <si>
    <t xml:space="preserve">RGBW/RCCB/clear-pixel statistics and reconstruction</t>
  </si>
  <si>
    <t xml:space="preserve">S38 — Color Demosaicing of RGBW Color Filter Array Based on Laplacian Pyramid</t>
  </si>
  <si>
    <t xml:space="preserve">§§2–3</t>
  </si>
  <si>
    <t xml:space="preserve">Treat clear/white samples as a separate high-SNR measurement: estimate the panchromatic plane, reconstruct color through calibrated spectral mixing, and keep exposure/color statistics aware that clear samples are not green.</t>
  </si>
  <si>
    <t xml:space="preserve">Controlled chart/flat/low-light scenes meet product ΔE, SNR, alias and luminance-linearity limits, and statistics/controller results remain stable versus a calibrated reference.</t>
  </si>
  <si>
    <t xml:space="preserve">Spectral/color-chart and low-light RAW sets across illuminants; measure ΔE00, SNR, false color and statistics bias.</t>
  </si>
  <si>
    <t xml:space="preserve">52, 60, 122</t>
  </si>
  <si>
    <t xml:space="preserve">Clear-pixel stats/reconstruction module and sensor spectral calibration</t>
  </si>
  <si>
    <t xml:space="preserve">https://www.mdpi.com/1424-8220/22/8/2981</t>
  </si>
  <si>
    <t xml:space="preserve">Exact CFA map, spectral sensitivities, IR-cut/lens response, color matrices and vendor reconstruction constraints for the target sensor</t>
  </si>
  <si>
    <t xml:space="preserve">125</t>
  </si>
  <si>
    <t xml:space="preserve">Video near PWM LEDs, signs, displays or vehicle lighting</t>
  </si>
  <si>
    <t xml:space="preserve">PWM LED flicker-detection statistics and confidence</t>
  </si>
  <si>
    <t xml:space="preserve">pp. 2–3</t>
  </si>
  <si>
    <t xml:space="preserve">Maintain timestamped row/region intensity histories, reject scene motion, estimate periodic modulation/frequency/duty/phase and publish confidence plus affected regions to AE/HDR. Include banding and missed-pulse observables rather than reusing the 50/60 Hz exposure flag.</t>
  </si>
  <si>
    <t xml:space="preserve">On a labeled PWM corpus spanning frequency, duty, brightness, motion and exposure, detection precision/recall, frequency error and confidence calibration meet product thresholds with bounded false positives on non-flickering motion.</t>
  </si>
  <si>
    <t xml:space="preserve">Programmable LED-panel lab captures plus synthetic row-timing simulation; report detection and calibration curves.</t>
  </si>
  <si>
    <t xml:space="preserve">11, 12, 17</t>
  </si>
  <si>
    <t xml:space="preserve">Flicker-statistics estimator, confidence model and labeled PWM dataset</t>
  </si>
  <si>
    <t xml:space="preserve">S51 — Digital Camera Noise Measurement Tools</t>
  </si>
  <si>
    <t xml:space="preserve">Flicker measurement context</t>
  </si>
  <si>
    <t xml:space="preserve">https://www.imaging.org/IST/IST/Standards/Digital_Camera_Noise_Tools.aspx</t>
  </si>
  <si>
    <t xml:space="preserve">Target use-case PWM frequency/duty/brightness envelope and sensor rolling-shutter timing</t>
  </si>
  <si>
    <t xml:space="preserve">126</t>
  </si>
  <si>
    <t xml:space="preserve">Products that must image PWM LEDs reliably</t>
  </si>
  <si>
    <t xml:space="preserve">PWM LED flicker mitigation and HDR interaction</t>
  </si>
  <si>
    <t xml:space="preserve">Use flicker statistics to select an exposure/LFM/HDR mode, ratio and timing policy that reduces missed pulses and rolling bands while bounding motion blur and saturation. Treat hardware LFM as a sensor mode with explicit quality tradeoffs and fallback.</t>
  </si>
  <si>
    <t xml:space="preserve">Across the product PWM envelope, configured modes meet flicker-detection/visibility limits and declared blur, SNR and HDR constraints; transitions do not destabilize AE or introduce exposure jumps.</t>
  </si>
  <si>
    <t xml:space="preserve">Programmable PWM target with moving camera/target and HDR scenes; report flicker modulation/detection, blur, SNR and clipping metrics.</t>
  </si>
  <si>
    <t xml:space="preserve">18, 22, 118, 120, 125</t>
  </si>
  <si>
    <t xml:space="preserve">LFM policy/controller, sensor-mode adapter, tuning and hardware validation suite</t>
  </si>
  <si>
    <t xml:space="preserve">Vendor LFM/pLFM mode description, legal timing/register combinations and calibrated blur/SNR/HDR tradeoff for the target sensor</t>
  </si>
  <si>
    <t xml:space="preserve">127</t>
  </si>
  <si>
    <t xml:space="preserve">Per-stage numerical precision and domain policy</t>
  </si>
  <si>
    <t xml:space="preserve">S39 — Data types</t>
  </si>
  <si>
    <t xml:space="preserve">Data types and overflow sections</t>
  </si>
  <si>
    <t xml:space="preserve">Declare every stage's input/output domain, dtype, signedness, scale/headroom, accumulator width, overflow rule and float-versus-fixed reference. Centralize conversions and make unexpected implicit casts test failures.</t>
  </si>
  <si>
    <t xml:space="preserve">A machine-readable policy covers every stage; worst-case vectors prove no unintended overflow/wrap, and float/fixed or alternate-dtype paths stay within per-stage and end-to-end tolerances.</t>
  </si>
  <si>
    <t xml:space="preserve">Static policy/schema checks, dtype/limit property tests and adversarial full-scale/negative/headroom vectors.</t>
  </si>
  <si>
    <t xml:space="preserve">1, 105</t>
  </si>
  <si>
    <t xml:space="preserve">Numerical-domain specification, checked conversion helpers and precision regression suite</t>
  </si>
  <si>
    <t xml:space="preserve">https://numpy.org/doc/stable/user/basics.types.html</t>
  </si>
  <si>
    <t xml:space="preserve">128</t>
  </si>
  <si>
    <t xml:space="preserve">Rounding, saturation, dither and output quantization</t>
  </si>
  <si>
    <t xml:space="preserve">S40 — Quantization and Dither: A Theoretical Survey</t>
  </si>
  <si>
    <t xml:space="preserve">pp. 355–375</t>
  </si>
  <si>
    <t xml:space="preserve">Define rounding mode and saturation at every bit-depth reduction; add optional decorrelated dither at the final display/output quantizer where required, with deterministic seeding for tests and no dither in RAW-preserving paths.</t>
  </si>
  <si>
    <t xml:space="preserve">Ramp and near-threshold tests match specified rounding/saturation exactly; enabled dither removes coherent gradient banding without biasing mean level beyond tolerance and remains reproducible under a test seed.</t>
  </si>
  <si>
    <t xml:space="preserve">Exhaustive small-bit-depth truth tables plus 10/12/16-bit ramps, histograms, mean-error and spectral/banding checks.</t>
  </si>
  <si>
    <t xml:space="preserve">105, 127</t>
  </si>
  <si>
    <t xml:space="preserve">Quantizer/dither module and golden ramp/threshold tests</t>
  </si>
  <si>
    <t xml:space="preserve">https://experts.mcmaster.ca/scholarly-works/3628757</t>
  </si>
  <si>
    <t xml:space="preserve">129</t>
  </si>
  <si>
    <t xml:space="preserve">Reference workloads and frame/per-stage timing budgets</t>
  </si>
  <si>
    <t xml:space="preserve">S41 — The Python Profilers</t>
  </si>
  <si>
    <t xml:space="preserve">cProfile and Profile sections</t>
  </si>
  <si>
    <t xml:space="preserve">Define representative resolutions, bit depths, modes and hardware; measure warm/cold end-to-end and per-stage wall/CPU time with repeatable inputs, and fail performance regressions against explicit frame-time budgets.</t>
  </si>
  <si>
    <t xml:space="preserve">A versioned workload matrix reports per-stage and end-to-end timing distributions on named reference hardware; CI flags statistically meaningful regressions and every product mode has an explicit budget.</t>
  </si>
  <si>
    <t xml:space="preserve">Pinned benchmark runner with warmup/repetition, raw samples, environment manifest and profiler artifacts.</t>
  </si>
  <si>
    <t xml:space="preserve">102, 111</t>
  </si>
  <si>
    <t xml:space="preserve">Profiling/benchmark harness, workload corpus, budgets and CI regression report</t>
  </si>
  <si>
    <t xml:space="preserve">https://docs.python.org/3/library/profile.html#:~:text=cProfile%20and%20profile%20provide</t>
  </si>
  <si>
    <t xml:space="preserve">parametrized workload matrix</t>
  </si>
  <si>
    <t xml:space="preserve">130</t>
  </si>
  <si>
    <t xml:space="preserve">Peak memory, temporary-array and copy accounting</t>
  </si>
  <si>
    <t xml:space="preserve">S42 — tracemalloc — Trace memory allocations</t>
  </si>
  <si>
    <t xml:space="preserve">Tracing, snapshots and peak-memory sections</t>
  </si>
  <si>
    <t xml:space="preserve">Measure process and Python allocation peaks per workload/stage; inventory persistent buffers, temporary arrays, copies and history depth, then set mode-specific budgets and flag unexpected allocations.</t>
  </si>
  <si>
    <t xml:space="preserve">Every reference workload has a documented persistent/temporary/peak budget, measured peaks stay within it, and CI detects added full-frame copies or history growth beyond tolerance.</t>
  </si>
  <si>
    <t xml:space="preserve">tracemalloc snapshots plus process RSS sampling and explicit ndarray ownership/share-memory assertions.</t>
  </si>
  <si>
    <t xml:space="preserve">Memory profiler, buffer/copy inventory, budgets and regression tests</t>
  </si>
  <si>
    <t xml:space="preserve">https://docs.python.org/3/library/tracemalloc.html</t>
  </si>
  <si>
    <t xml:space="preserve">S43 — Broadcasting</t>
  </si>
  <si>
    <t xml:space="preserve">Broadcasting memory cautions</t>
  </si>
  <si>
    <t xml:space="preserve">https://numpy.org/doc/stable/user/basics.broadcasting.html</t>
  </si>
  <si>
    <t xml:space="preserve">131</t>
  </si>
  <si>
    <t xml:space="preserve">Tiling, stripe and ROI processing with halo/border handling</t>
  </si>
  <si>
    <t xml:space="preserve">Basic slicing section</t>
  </si>
  <si>
    <t xml:space="preserve">Give neighborhood stages a tile contract: core ROI, read halo, write region, border mode, state/history ownership and deterministic stitching. Avoid full-frame temporaries while preserving exact semantics at tile boundaries.</t>
  </si>
  <si>
    <t xml:space="preserve">Random tile sizes/origins and full-frame execution produce equivalent output within declared numerical tolerance, with no seams and correct global-image borders; peak memory falls to the stated bound.</t>
  </si>
  <si>
    <t xml:space="preserve">Property tests comparing full-frame and tiled outputs over random ROIs, halos, borders and stateful histories.</t>
  </si>
  <si>
    <t xml:space="preserve">105, 106, 107</t>
  </si>
  <si>
    <t xml:space="preserve">Tile/ROI scheduler contract, halo utilities and equivalence/memory tests</t>
  </si>
  <si>
    <t xml:space="preserve">S44 — Adding borders to images</t>
  </si>
  <si>
    <t xml:space="preserve">copyMakeBorder and border-type sections</t>
  </si>
  <si>
    <t xml:space="preserve">https://docs.opencv.org/4.x/dc/da3/tutorial_copyMakeBorder.html</t>
  </si>
  <si>
    <t xml:space="preserve">132</t>
  </si>
  <si>
    <t xml:space="preserve">Vectorized or accelerated backend with numerical equivalence</t>
  </si>
  <si>
    <t xml:space="preserve">General broadcasting rules</t>
  </si>
  <si>
    <t xml:space="preserve">Define a backend interface and replace Python pixel loops with bounded-memory NumPy/vectorized or optional compiled/GPU kernels. Preserve one reference implementation and verify shape, dtype, border and numerical equivalence for every backend.</t>
  </si>
  <si>
    <t xml:space="preserve">Selected workloads meet target speedup/frame budget and every accelerated stage passes reference-backend golden, randomized and edge-case tests within its approved tolerance and dtype policy.</t>
  </si>
  <si>
    <t xml:space="preserve">Backend-parametrized functional tests plus timing/memory benchmarks on named hardware.</t>
  </si>
  <si>
    <t xml:space="preserve">127, 129, 131</t>
  </si>
  <si>
    <t xml:space="preserve">Backend abstraction, accelerated kernels, equivalence tests and benchmark report</t>
  </si>
  <si>
    <t xml:space="preserve">133</t>
  </si>
  <si>
    <t xml:space="preserve">Dependency license, provenance and clean-room inventory</t>
  </si>
  <si>
    <t xml:space="preserve">S45 — SPDX Specification 2.3 — Package Information</t>
  </si>
  <si>
    <t xml:space="preserve">§§7.8, 7.13–7.17</t>
  </si>
  <si>
    <t xml:space="preserve">Generate and review an SBOM/provenance record for runtime, build, test, copied code/data and documentation influences. Record declared/concluded license, version/commit, code copied, modifications, notices and whether clean-room separation is required.</t>
  </si>
  <si>
    <t xml:space="preserve">All shipped/runtime/build assets and implementation influences resolve to a versioned source, license, notice/copy decision and approver; no NOASSERTION/unknown entry remains at release without a signed exception.</t>
  </si>
  <si>
    <t xml:space="preserve">Automated SPDX/SBOM generation plus manual legal/provenance review against package locks, repositories and copied assets.</t>
  </si>
  <si>
    <t xml:space="preserve">SPDX SBOM, source-influence register, notices bundle and signed license review</t>
  </si>
  <si>
    <t xml:space="preserve">https://spdx.github.io/spdx-spec/v2.3/package-information/#715-declared-license-field</t>
  </si>
  <si>
    <t xml:space="preserve">S25 — openISP README at reviewed commit</t>
  </si>
  <si>
    <t xml:space="preserve">LICENSE at reviewed commit</t>
  </si>
  <si>
    <t xml:space="preserve">https://github.com/cruxopen/openISP/blob/d4947e1aa5f4af83c3640131dbca8a675b613ec6/LICENSE</t>
  </si>
  <si>
    <t xml:space="preserve">Open — legal/product owner must approve before release</t>
  </si>
  <si>
    <t xml:space="preserve">134</t>
  </si>
  <si>
    <t xml:space="preserve">Patent/FTO legal release gate</t>
  </si>
  <si>
    <t xml:space="preserve">S46 — Identifying Inventions in the Public Domain: A Guide for Inventors and Entrepreneurs</t>
  </si>
  <si>
    <t xml:space="preserve">pp. 9–10, 24–25, 41–98</t>
  </si>
  <si>
    <t xml:space="preserve">Describe product features and jurisdictions/time frame, search patents by feature/classification, analyze claims and legal status with counsel, record risks/alternatives and require a release decision for patent-dense stages such as demosaic, HDR, tone mapping and EIS.</t>
  </si>
  <si>
    <t xml:space="preserve">For each release and target jurisdiction, counsel-approved FTO records cover the declared feature set, searches, claim/legal-status analysis, residual risks, mitigations and dated release decision; changes trigger re-review.</t>
  </si>
  <si>
    <t xml:space="preserve">Release audit of feature map, search/report artifacts, counsel sign-off, expiry/review dates and change-trigger linkage.</t>
  </si>
  <si>
    <t xml:space="preserve">Counsel-owned FTO dossier and release-gate record</t>
  </si>
  <si>
    <t xml:space="preserve">https://www.wipo.int/edocs/pubdocs/en/wipo_pub_1062.pdf</t>
  </si>
  <si>
    <t xml:space="preserve">provenance inputs</t>
  </si>
  <si>
    <t xml:space="preserve">https://spdx.github.io/spdx-spec/v2.3/package-information/</t>
  </si>
  <si>
    <t xml:space="preserve">Legal counsel decision required; checklist is not legal advice</t>
  </si>
  <si>
    <t xml:space="preserve">135</t>
  </si>
  <si>
    <t xml:space="preserve">ISO 12233 SFR/MTF measurement</t>
  </si>
  <si>
    <t xml:space="preserve">S47 — ISO 12233:2024 — Resolution and spatial frequency responses</t>
  </si>
  <si>
    <t xml:space="preserve">Official record; normative clauses in licensed standard</t>
  </si>
  <si>
    <t xml:space="preserve">Capture prescribed slanted-edge/star targets under controlled geometry/illumination, compute edge spread, line spread and SFR/MTF by field/orientation/channel, and report MTF50 plus product-specific limits with uncertainty.</t>
  </si>
  <si>
    <t xml:space="preserve">The lab and analyzer reproduce a traceable reference result within defined uncertainty; every shipping mode/lens state reports field/orientation SFR and passes approved limits.</t>
  </si>
  <si>
    <t xml:space="preserve">Reference-target cross-check, repeated captures, ROI review and comparison with an independent conforming analyzer.</t>
  </si>
  <si>
    <t xml:space="preserve">100, 101</t>
  </si>
  <si>
    <t xml:space="preserve">SFR analyzer, calibrated chart/setup SOP, uncertainty study and per-mode report</t>
  </si>
  <si>
    <t xml:space="preserve">https://www.iso.org/standard/88626.html</t>
  </si>
  <si>
    <t xml:space="preserve">S48 — Application of ISO Standard Methods to Optical Design for Image Capture</t>
  </si>
  <si>
    <t xml:space="preserve">pp. 240-1–240-7</t>
  </si>
  <si>
    <t xml:space="preserve">https://library.imaging.org/ei/articles/32/9/art00012</t>
  </si>
  <si>
    <t xml:space="preserve">Licensed ISO 12233:2024 copy, conforming chart and measured chart/illumination calibration</t>
  </si>
  <si>
    <t xml:space="preserve">136</t>
  </si>
  <si>
    <t xml:space="preserve">Color-chart ΔE00 under controlled illuminants</t>
  </si>
  <si>
    <t xml:space="preserve">S49 — The CIEDE2000 Color-Difference Formula: Implementation Notes, Supplementary Test Data, and Mathematical Observations</t>
  </si>
  <si>
    <t xml:space="preserve">article pp. 21–30 plus test data</t>
  </si>
  <si>
    <t xml:space="preserve">Measure chart reference spectra/values and illuminant, extract linear or rendered patches consistently, convert to the agreed Lab reference and calculate validated CIEDE2000 statistics by patch, illuminant, gain and mode.</t>
  </si>
  <si>
    <t xml:space="preserve">The ΔE00 implementation passes Sharma reference pairs and repeated chart captures meet repeatability and approved mean/percentile/worst-patch limits for every required illuminant/mode.</t>
  </si>
  <si>
    <t xml:space="preserve">Reference-pair unit tests, spectrally measured chart captures, patch overlays and repeatability/uncertainty analysis.</t>
  </si>
  <si>
    <t xml:space="preserve">95, 100, 101</t>
  </si>
  <si>
    <t xml:space="preserve">Validated ΔE00 analyzer, chart/illuminant SOP and color conformance report</t>
  </si>
  <si>
    <t xml:space="preserve">https://hajim.rochester.edu/ece/sites/gsharma/ciede2000/</t>
  </si>
  <si>
    <t xml:space="preserve">Measured chart reference data, calibrated illuminants/spectrometer and product ΔE00 limits</t>
  </si>
  <si>
    <t xml:space="preserve">137</t>
  </si>
  <si>
    <t xml:space="preserve">ISO 15739 output noise, SNR and dynamic-range measurement</t>
  </si>
  <si>
    <t xml:space="preserve">S50 — ISO 15739:2023 — Noise measurements</t>
  </si>
  <si>
    <t xml:space="preserve">Measure the rendered/output pipeline using controlled uniform and stepped exposures, the specified signal/noise definitions and declared processing state; report SNR/noise versus level, gain and mode separately from sensor-only EMVA results.</t>
  </si>
  <si>
    <t xml:space="preserve">A traceable reference and repeat captures agree within uncertainty; all shipping modes publish output SNR/noise/DR curves and meet approved thresholds.</t>
  </si>
  <si>
    <t xml:space="preserve">Controlled exposure/flat/step captures, independent-tool cross-check and repeated-measurement uncertainty analysis.</t>
  </si>
  <si>
    <t xml:space="preserve">96, 100, 101</t>
  </si>
  <si>
    <t xml:space="preserve">Output-noise analyzer, lab SOP, uncertainty budget and per-mode conformance report</t>
  </si>
  <si>
    <t xml:space="preserve">https://www.iso.org/standard/82233.html</t>
  </si>
  <si>
    <t xml:space="preserve">Noise tools and ISO 15739 sections</t>
  </si>
  <si>
    <t xml:space="preserve">Licensed ISO 15739:2023 copy, calibrated target/illumination and product SNR/DR limits</t>
  </si>
  <si>
    <t xml:space="preserve">138</t>
  </si>
  <si>
    <t xml:space="preserve">OECF and rendered dynamic-range measurement</t>
  </si>
  <si>
    <t xml:space="preserve">S52 — ISO 14524 — OECF</t>
  </si>
  <si>
    <t xml:space="preserve">Test Targets and Test Methods sections</t>
  </si>
  <si>
    <t xml:space="preserve">Capture a calibrated step target or exposure series, map log scene/focal-plane exposure to digital output by channel, identify toe/shoulder/saturation and compute usable rendered dynamic range with the declared noise criterion.</t>
  </si>
  <si>
    <t xml:space="preserve">The measured OECF is monotonic where required, repeatable within uncertainty, and all modes meet approved tone-placement, saturation and usable-range limits.</t>
  </si>
  <si>
    <t xml:space="preserve">Repeated calibrated step-target/exposure-series captures with channel curves, residuals and independent analysis cross-check.</t>
  </si>
  <si>
    <t xml:space="preserve">OECF analyzer, target/setup SOP and rendered dynamic-range report</t>
  </si>
  <si>
    <t xml:space="preserve">https://www.imatest.com/imaging/iso-14524/</t>
  </si>
  <si>
    <t xml:space="preserve">noise criterion context</t>
  </si>
  <si>
    <t xml:space="preserve">ISO 14524:2009 licensed copy or approved equivalent method, calibrated OECF target and product limits</t>
  </si>
  <si>
    <t xml:space="preserve">139</t>
  </si>
  <si>
    <t xml:space="preserve">Controlled IQ lab setup, chart/illuminant protocol and metadata</t>
  </si>
  <si>
    <t xml:space="preserve">S55 — EMVA Standard 1288 Release 4.0 Linear</t>
  </si>
  <si>
    <t xml:space="preserve">pp. 17–30</t>
  </si>
  <si>
    <t xml:space="preserve">Version the complete lab method: geometry, target lot/reference, spectral power distribution, illuminance, polarization/stray light, focus, stabilization, warm-up/temperature, capture count, exposure state, RAW/rendered path and machine-readable metadata.</t>
  </si>
  <si>
    <t xml:space="preserve">A second operator can reproduce the setup and results within the stated uncertainty; every IQ result links to immutable target/light calibrations, environment/camera metadata, processing config and raw captures.</t>
  </si>
  <si>
    <t xml:space="preserve">Inter-operator repeatability study, metadata completeness audit and scheduled equipment/target calibration checks.</t>
  </si>
  <si>
    <t xml:space="preserve">94, 95, 96, 97, 101, 135, 136, 137, 138</t>
  </si>
  <si>
    <t xml:space="preserve">Versioned lab SOP, calibration register, capture manifest schema and reproducibility report</t>
  </si>
  <si>
    <t xml:space="preserve">https://www.emva.org/wp-content/uploads/EMVA1288Linear_4.0Release.pdf</t>
  </si>
  <si>
    <t xml:space="preserve">pp. 52–64</t>
  </si>
  <si>
    <t xml:space="preserve">140</t>
  </si>
  <si>
    <t xml:space="preserve">Strongly recommended for drones/outdoor cameras; suppression may be optional but characterization is required</t>
  </si>
  <si>
    <t xml:space="preserve">Flare and veiling-glare characterization and suppression</t>
  </si>
  <si>
    <t xml:space="preserve">S53 — Image Flare Measurement According to ISO 18844</t>
  </si>
  <si>
    <t xml:space="preserve">pp. DPMI-005-1–DPMI-005-7</t>
  </si>
  <si>
    <t xml:space="preserve">First measure field-dependent veiling glare on linear captures with a standard target; then characterize sun/bright-source cases and, if software suppression is enabled, estimate a conservative glare layer/mask while protecting true low-frequency illumination and color.</t>
  </si>
  <si>
    <t xml:space="preserve">Baseline flare is mapped by field/source angle and meets product limits; any suppression improves approved metrics/paired scenes without halos, black crush, color shifts or removal of legitimate illumination beyond tolerance.</t>
  </si>
  <si>
    <t xml:space="preserve">ISO-style target plus controlled sun/point-source angle sweep, paired clean/flare scenes and artifact review.</t>
  </si>
  <si>
    <t xml:space="preserve">89, 100, 101</t>
  </si>
  <si>
    <t xml:space="preserve">Flare characterization report, optional suppression module/tuning and outdoor regression corpus</t>
  </si>
  <si>
    <t xml:space="preserve">https://library.imaging.org/ei/articles/28/18/art00013#:~:text=three%20different%20measurements</t>
  </si>
  <si>
    <t xml:space="preserve">controlled setup principles, pp. 17–30</t>
  </si>
  <si>
    <t xml:space="preserve">ISO 18844:2017 licensed copy or approved equivalent chart/method, target lens/housing and product flare limits</t>
  </si>
  <si>
    <t xml:space="preserve">141</t>
  </si>
  <si>
    <t xml:space="preserve">Optional aerial/long-range imaging where haze reduction is a product requirement</t>
  </si>
  <si>
    <t xml:space="preserve">Atmospheric dehaze and aerial-contrast restoration</t>
  </si>
  <si>
    <t xml:space="preserve">S54 — Dehazing with Dark Channel Prior: Analysis and Implementation</t>
  </si>
  <si>
    <t xml:space="preserve">pp. 173–193 and source archive</t>
  </si>
  <si>
    <t xml:space="preserve">Implement the atmospheric model, dark channel, airlight and transmission estimation/refinement as an optional scene-gated stage; bound strength, protect sky/bright objects and record restored transmission/confidence.</t>
  </si>
  <si>
    <t xml:space="preserve">On synthetic ground truth and representative aerial scenes, the stage improves approved visibility/contrast metrics without unacceptable sky halos, color shifts, noise amplification or temporal pumping; bypass is exact.</t>
  </si>
  <si>
    <t xml:space="preserve">IPOL/reference cases, synthetic atmospheric renderings, real aerial sequences and temporal/artifact review.</t>
  </si>
  <si>
    <t xml:space="preserve">33, 34, 100</t>
  </si>
  <si>
    <t xml:space="preserve">Optional dehaze module, scene gate, tuning and aerial regression set</t>
  </si>
  <si>
    <t xml:space="preserve">https://www.ipol.im/pub/art/2024/530/</t>
  </si>
  <si>
    <t xml:space="preserve">objective metrics</t>
  </si>
  <si>
    <t xml:space="preserve">Review IPOL source-code terms before copying; independent implementation may cite the paper</t>
  </si>
  <si>
    <t xml:space="preserve">142</t>
  </si>
  <si>
    <t xml:space="preserve">Long exposure, high gain or meaningful sensor-temperature variation</t>
  </si>
  <si>
    <t xml:space="preserve">Temperature-dependent dark current and black-level drift</t>
  </si>
  <si>
    <t xml:space="preserve">pp. 12, 27–28</t>
  </si>
  <si>
    <t xml:space="preserve">Measure dark signal versus exposure, gain, mode and sensor temperature; separate exposure-dependent dark current from fixed black offsets and select/interpolate correction parameters using trustworthy temperature metadata.</t>
  </si>
  <si>
    <t xml:space="preserve">Across the qualified temperature/exposure/gain range, corrected dark frames meet mean black, row/column residual, hot-pixel and noise-drift limits without subtracting scene signal.</t>
  </si>
  <si>
    <t xml:space="preserve">Thermal-soak dark stacks across mode/gain/exposure with held-out temperatures and residual trend plots.</t>
  </si>
  <si>
    <t xml:space="preserve">4, 10, 96, 119</t>
  </si>
  <si>
    <t xml:space="preserve">Thermal dark/black model, calibration dataset and correction tests</t>
  </si>
  <si>
    <t xml:space="preserve">Calibrated sensor-temperature telemetry and per-module thermal/dark capture dataset</t>
  </si>
  <si>
    <t xml:space="preserve">143</t>
  </si>
  <si>
    <t xml:space="preserve">On-sensor phase-detect autofocus</t>
  </si>
  <si>
    <t xml:space="preserve">PDAF statistics extraction and confidence</t>
  </si>
  <si>
    <t xml:space="preserve">S60 — PDAF (Phase Detection Auto Focus)</t>
  </si>
  <si>
    <t xml:space="preserve">PDAF section</t>
  </si>
  <si>
    <t xml:space="preserve">Decode the sensor's phase-detection sites or dual-pixel planes, apply required correction, aggregate phase difference and confidence by AF window, reject saturation/low texture/occlusion and publish data independently of the lens controller.</t>
  </si>
  <si>
    <t xml:space="preserve">Calibrated defocus sweeps over field, lens position, illuminance and temperature produce correct phase sign/magnitude and confidence; invalid sites are rejected and item 26 consumes the published statistic.</t>
  </si>
  <si>
    <t xml:space="preserve">Focus-rail/target sweeps plus synthetic packed-site fixtures and vendor/reference comparison.</t>
  </si>
  <si>
    <t xml:space="preserve">9, 102</t>
  </si>
  <si>
    <t xml:space="preserve">PDAF decoder/statistics module, calibration and focus-sweep corpus</t>
  </si>
  <si>
    <t xml:space="preserve">https://www.sony-semicon.com/en/technology/camera/index.html</t>
  </si>
  <si>
    <t xml:space="preserve">Vendor PDAF pixel map/packing, phase calibration, lens transfer/defocus relation and validity/confidence rules</t>
  </si>
  <si>
    <t xml:space="preserve">144</t>
  </si>
  <si>
    <t xml:space="preserve">Post-demosaic luma denoise</t>
  </si>
  <si>
    <t xml:space="preserve">fastNlMeansDenoising / fastNlMeansDenoisingColored sections</t>
  </si>
  <si>
    <t xml:space="preserve">Add an independently tunable luma/detail denoise stage after demosaic and before/with sharpening; derive strength from the noise model and protect edges/textures separately from the existing chroma stage.</t>
  </si>
  <si>
    <t xml:space="preserve">Across gain and texture sets, luma noise improves by the approved amount while MTF/detail, edge halos and chroma remain within limits; bypass and zero-strength are identity.</t>
  </si>
  <si>
    <t xml:space="preserve">Noise flats plus texture/edge charts and natural low-light scenes; report luma noise, SFR and artifact crops.</t>
  </si>
  <si>
    <t xml:space="preserve">10, 46, 127</t>
  </si>
  <si>
    <t xml:space="preserve">Luma denoise module, gain-dependent tuning and IQ regression set</t>
  </si>
  <si>
    <t xml:space="preserve">https://docs.opencv.org/4.x/d5/d69/tutorial_py_non_local_means.html#:~:text=cv.fastNlMeansDenoisingColored</t>
  </si>
  <si>
    <t xml:space="preserve">145</t>
  </si>
  <si>
    <t xml:space="preserve">Always for shutter/gain; aperture and ND axes only when hardware is present</t>
  </si>
  <si>
    <t xml:space="preserve">AE exposure partitioning across shutter, analog/digital gain, aperture and ND</t>
  </si>
  <si>
    <t xml:space="preserve">Make exposure policy an explicit constrained optimizer/profile: prioritize shutter, analog gain, digital gain and, where present, aperture/ND according to motion blur, depth of field, noise, diffraction, actuator latency/hysteresis and user mode.</t>
  </si>
  <si>
    <t xml:space="preserve">Scripted EV ramps and mode changes choose only legal combinations, follow the approved priority/transition policy without oscillation, and meet blur/noise/DoF limits with requested/applied state traceability.</t>
  </si>
  <si>
    <t xml:space="preserve">Closed-loop exposure simulator plus calibrated light ramps, moving targets and actuator transition tests.</t>
  </si>
  <si>
    <t xml:space="preserve">18, 27, 104</t>
  </si>
  <si>
    <t xml:space="preserve">Exposure partition policy, actuator models, simulator and hardware conformance tests</t>
  </si>
  <si>
    <t xml:space="preserve">S56 — Camera HAL3</t>
  </si>
  <si>
    <t xml:space="preserve">per-request manual sensor/lens controls</t>
  </si>
  <si>
    <t xml:space="preserve">https://source.android.com/docs/core/camera/camera3</t>
  </si>
  <si>
    <t xml:space="preserve">Sensor gain model, lens aperture table, ND transmission/latency/hysteresis and product exposure-line policy</t>
  </si>
  <si>
    <t xml:space="preserve">146</t>
  </si>
  <si>
    <t xml:space="preserve">Camera products that capture still images in addition to preview/video</t>
  </si>
  <si>
    <t xml:space="preserve">Still-capture requests, ZSL, burst and video/still parameter divergence</t>
  </si>
  <si>
    <t xml:space="preserve">Camera HAL3 features and operation model</t>
  </si>
  <si>
    <t xml:space="preserve">Model each capture as a request/result with output streams and controls; support one-shot priority over repeating preview, bounded ZSL history selection, burst sequencing, flush/cancel and explicit still-versus-video quality/latency policies.</t>
  </si>
  <si>
    <t xml:space="preserve">Request ordering, metadata/buffer association, ZSL age/selection, burst cadence, preview continuity and flush/cancel behavior pass deterministic concurrency tests and product latency/quality limits.</t>
  </si>
  <si>
    <t xml:space="preserve">Request-scheduler simulation and hardware scenarios covering one-shot, repeating, ZSL, burst, backpressure, cancel and errors.</t>
  </si>
  <si>
    <t xml:space="preserve">78, 102, 104</t>
  </si>
  <si>
    <t xml:space="preserve">Capture request/result scheduler, ZSL/burst buffer manager and integration tests</t>
  </si>
  <si>
    <t xml:space="preserve">https://source.android.com/docs/core/camera/camera3#:~:text=A%20request%20contains%20all%20desired%20capture%20settings</t>
  </si>
  <si>
    <t xml:space="preserve">S58 — libcamera Request and PipelineHandler API</t>
  </si>
  <si>
    <t xml:space="preserve">request lifecycle and cancellation</t>
  </si>
  <si>
    <t xml:space="preserve">https://docs.libcamera.org/master/api-html/classlibcamera_1_1Request.html</t>
  </si>
  <si>
    <t xml:space="preserve">147</t>
  </si>
  <si>
    <t xml:space="preserve">Products that promise RAW/DNG still output or calibration archives</t>
  </si>
  <si>
    <t xml:space="preserve">DNG/RAW writing and round-trip validation</t>
  </si>
  <si>
    <t xml:space="preserve">pp. 18–62, 99–120</t>
  </si>
  <si>
    <t xml:space="preserve">Write a conforming TIFF/DNG structure with CFA, crop, black/white, calibration, color, noise, opcode and private metadata needed to reconstruct the raw state. Preserve bit depth and sensor geometry and version required tags explicitly.</t>
  </si>
  <si>
    <t xml:space="preserve">Written files pass the selected conformance validator, open in at least two independent readers and round-trip required RAW samples/tags/geometry without unintended pixel or metadata change.</t>
  </si>
  <si>
    <t xml:space="preserve">Schema/tag tests, validator run, independent-reader smoke tests and pixel/tag round-trip comparison.</t>
  </si>
  <si>
    <t xml:space="preserve">1, 60, 109</t>
  </si>
  <si>
    <t xml:space="preserve">DNG writer, metadata mapper, conformance harness and golden files</t>
  </si>
  <si>
    <t xml:space="preserve">S59 — Digital Negative (DNG), Adobe DNG Converter and DNG SDK</t>
  </si>
  <si>
    <t xml:space="preserve">Specifications, SDK/validator and patent-license sections</t>
  </si>
  <si>
    <t xml:space="preserve">https://helpx.adobe.com/camera-raw/digital-negative.html</t>
  </si>
  <si>
    <t xml:space="preserve">Adobe DNG specification/patent-license review, chosen TIFF/DNG writer and current conformance validator/readers</t>
  </si>
  <si>
    <t xml:space="preserve">Review DNG patent-license, SDK and dependency terms before release</t>
  </si>
  <si>
    <t xml:space="preserve">148</t>
  </si>
  <si>
    <t xml:space="preserve">Encoded still images and DNG/RAW products carrying standardized metadata</t>
  </si>
  <si>
    <t xml:space="preserve">Exif/XMP/GPS/orientation metadata writing</t>
  </si>
  <si>
    <t xml:space="preserve">S57 — Exif Version 3.1 — CIPA DC-008-Translation-2026</t>
  </si>
  <si>
    <t xml:space="preserve">CIPA DC-008-Translation-2026 section; normative tag tables in downloaded standard</t>
  </si>
  <si>
    <t xml:space="preserve">Map per-frame capture/result data into current Exif tags and, where selected, XMP; write orientation, exposure, lens, color, timestamps/time zone and GPS with correct types/units, privacy policy and update behavior after transforms.</t>
  </si>
  <si>
    <t xml:space="preserve">A standards-aware validator and independent readers recover every required tag with correct type/unit/value; orientation follows transforms, timestamps are coherent, and location removal/redaction policy is tested.</t>
  </si>
  <si>
    <t xml:space="preserve">Golden metadata fixtures, round-trip tag comparison, orientation image matrix and GPS/privacy enable/disable tests.</t>
  </si>
  <si>
    <t xml:space="preserve">60, 78, 102, 147</t>
  </si>
  <si>
    <t xml:space="preserve">Exif/XMP metadata writer, policy mapper, validator and golden files</t>
  </si>
  <si>
    <t xml:space="preserve">https://www.cipa.jp/e/std/std-sec.html</t>
  </si>
  <si>
    <t xml:space="preserve">pp. 31–62</t>
  </si>
  <si>
    <t xml:space="preserve">Downloaded CIPA DC-008-Translation-2026, chosen container/metadata library and product GPS/privacy policy</t>
  </si>
  <si>
    <t xml:space="preserve">149</t>
  </si>
  <si>
    <t xml:space="preserve">Error handling, timeouts and degraded operation</t>
  </si>
  <si>
    <t xml:space="preserve">status, cancellation and completion sections</t>
  </si>
  <si>
    <t xml:space="preserve">Define typed errors and state transitions for invalid config, missing calibration, malformed RAW, dropped/cancelled frames, statistics/control timeout, backend failure and resource exhaustion. Specify fail-fast versus bypass/hold-last/safe-default behavior and surface degradation in per-frame metadata.</t>
  </si>
  <si>
    <t xml:space="preserve">Fault-injection tests cover every declared failure; no deadlock, silent corruption or stale metadata occurs, resources are released, request/frame status is accurate and each degraded path meets its documented recovery bound.</t>
  </si>
  <si>
    <t xml:space="preserve">Systematic invalid-input, timeout, drop/cancel, allocation and backend fault injection with state/resource assertions.</t>
  </si>
  <si>
    <t xml:space="preserve">102, 103, 104, 106, 107</t>
  </si>
  <si>
    <t xml:space="preserve">Error taxonomy/state machine, degraded-mode policy, fault injector and recovery test suite</t>
  </si>
  <si>
    <t xml:space="preserve">flush and request/result behavior</t>
  </si>
  <si>
    <t xml:space="preserve">Coverage Summary</t>
  </si>
  <si>
    <t xml:space="preserve">Scope is the primary planning pivot. Completion excludes Status = N/A. Formulas use ordinary bounded ranges through row 300 so newly populated reserved rows are counted without relying on dynamic arrays.</t>
  </si>
  <si>
    <t xml:space="preserve">Total items</t>
  </si>
  <si>
    <t xml:space="preserve">Applicable</t>
  </si>
  <si>
    <t xml:space="preserve">Done</t>
  </si>
  <si>
    <t xml:space="preserve">% complete</t>
  </si>
  <si>
    <t xml:space="preserve">N/A</t>
  </si>
  <si>
    <t xml:space="preserve">In progress</t>
  </si>
  <si>
    <t xml:space="preserve">With primary source</t>
  </si>
  <si>
    <t xml:space="preserve">Unassigned</t>
  </si>
  <si>
    <t xml:space="preserve">Required artifacts</t>
  </si>
  <si>
    <t xml:space="preserve">IP/legal review rows</t>
  </si>
  <si>
    <t xml:space="preserve">Items</t>
  </si>
  <si>
    <t xml:space="preserve">How to read Source fit</t>
  </si>
  <si>
    <t xml:space="preserve">The source explicitly specifies the feature, algorithm, interface or test method.</t>
  </si>
  <si>
    <t xml:space="preserve">The source provides a sound implementation pattern that must be extended to the stated product axis or policy.</t>
  </si>
  <si>
    <t xml:space="preserve">Public material explains the mechanism, but the named sensor-vendor artifact and target-hardware calibration are mandatory.</t>
  </si>
  <si>
    <t xml:space="preserve">Source Library</t>
  </si>
  <si>
    <t xml:space="preserve">60 references used by the 151 checklist rows. Publication/revision and accessed date are separate. URL and License URL cells are real external hyperlinks in the delivered XLSX.</t>
  </si>
  <si>
    <t xml:space="preserve">Source</t>
  </si>
  <si>
    <t xml:space="preserve">Organization / authors</t>
  </si>
  <si>
    <t xml:space="preserve">Published / revision</t>
  </si>
  <si>
    <t xml:space="preserve">Version</t>
  </si>
  <si>
    <t xml:space="preserve">Accessed date</t>
  </si>
  <si>
    <t xml:space="preserve">Type</t>
  </si>
  <si>
    <t xml:space="preserve">Source role</t>
  </si>
  <si>
    <t xml:space="preserve">URL</t>
  </si>
  <si>
    <t xml:space="preserve">Pages / sections used</t>
  </si>
  <si>
    <t xml:space="preserve">Why this source is useful</t>
  </si>
  <si>
    <t xml:space="preserve">License / reuse</t>
  </si>
  <si>
    <t xml:space="preserve">License URL</t>
  </si>
  <si>
    <t xml:space="preserve">Code copied?</t>
  </si>
  <si>
    <t xml:space="preserve">Clean-room required?</t>
  </si>
  <si>
    <t xml:space="preserve">Used by checklist IDs</t>
  </si>
  <si>
    <t xml:space="preserve">S01</t>
  </si>
  <si>
    <t xml:space="preserve">Camera Algorithm and Tuning Guide</t>
  </si>
  <si>
    <t xml:space="preserve">Raspberry Pi Ltd</t>
  </si>
  <si>
    <t xml:space="preserve">2025</t>
  </si>
  <si>
    <t xml:space="preserve">Living/current page</t>
  </si>
  <si>
    <t xml:space="preserve">2026-08-08</t>
  </si>
  <si>
    <t xml:space="preserve">Official implementation and tuning guide (PDF)</t>
  </si>
  <si>
    <t xml:space="preserve">Primary/official</t>
  </si>
  <si>
    <t xml:space="preserve">pp. 11–64</t>
  </si>
  <si>
    <t xml:space="preserve">Control-loop architecture, AWB/AE/AF, denoise, HDR, calibration, tuning, metadata and synchronization.</t>
  </si>
  <si>
    <t xml:space="preserve">Reference use; check publisher/source terms before reuse</t>
  </si>
  <si>
    <t xml:space="preserve">No</t>
  </si>
  <si>
    <t xml:space="preserve">No special clean-room requirement identified; still perform legal review</t>
  </si>
  <si>
    <t xml:space="preserve">None beyond cited public source</t>
  </si>
  <si>
    <t xml:space="preserve">6, 7, 7a, 9, 10, 12, 13, 14, 15, 16, 17, 18, 19, 20, 21, 22, 23, 24, 25, 26, 27, 28, 36, 38, 39, 40, 42, 45, 50, 52, 53, 54, 61, 62, 64, 66, 68, 83, 84, 86, 87, 88, 89, 90, 91, 92, 93, 94, 95, 96, 98, 99, 101, 102, 103, 104, 106, 107, 111, 120, 126, 136, 139, 143, 144, 145</t>
  </si>
  <si>
    <t xml:space="preserve">S02</t>
  </si>
  <si>
    <t xml:space="preserve">Digital Negative (DNG) Specification 1.7.1.0</t>
  </si>
  <si>
    <t xml:space="preserve">Adobe</t>
  </si>
  <si>
    <t xml:space="preserve">2023</t>
  </si>
  <si>
    <t xml:space="preserve">Specification 1.7.1.0</t>
  </si>
  <si>
    <t xml:space="preserve">Official file-format and raw-processing specification (PDF)</t>
  </si>
  <si>
    <t xml:space="preserve">pp. 26–62, 71–120</t>
  </si>
  <si>
    <t xml:space="preserve">Raw normalization, calibration tags, color transforms, lens/defect opcodes and processing order.</t>
  </si>
  <si>
    <t xml:space="preserve">DNG specification and patent license; review Adobe terms</t>
  </si>
  <si>
    <t xml:space="preserve">1, 2, 3, 4, 5, 7, 7a, 8, 9, 29, 31, 48, 50, 56, 57, 60, 67, 89, 97, 105, 108, 109, 119, 122, 123, 124, 142, 147, 148</t>
  </si>
  <si>
    <t xml:space="preserve">S03</t>
  </si>
  <si>
    <t xml:space="preserve">V4L2 RKISP1 parameters and 3A statistics</t>
  </si>
  <si>
    <t xml:space="preserve">Linux kernel documentation</t>
  </si>
  <si>
    <t xml:space="preserve">2026</t>
  </si>
  <si>
    <t xml:space="preserve">Official kernel interface documentation</t>
  </si>
  <si>
    <t xml:space="preserve">https://docs.kernel.org/userspace-api/media/v4l/metafmt-rkisp1.html</t>
  </si>
  <si>
    <t xml:space="preserve">§§2.13.9.1–2.13.9.2 and named structs</t>
  </si>
  <si>
    <t xml:space="preserve">Concrete statistics, black-level, defect correction, AWB, filter, demosaic and range-control interfaces.</t>
  </si>
  <si>
    <t xml:space="preserve">4, 11, 12, 14, 15, 19, 43, 45, 48, 59, 63, 103, 105, 112, 113, 114</t>
  </si>
  <si>
    <t xml:space="preserve">S04</t>
  </si>
  <si>
    <t xml:space="preserve">ARM Mali-C55 Image Signal Processor driver</t>
  </si>
  <si>
    <t xml:space="preserve">Official kernel driver documentation</t>
  </si>
  <si>
    <t xml:space="preserve">https://docs.kernel.org/admin-guide/media/mali-c55.html</t>
  </si>
  <si>
    <t xml:space="preserve">Crop, scale, YUV, dual-output paths, RAW bypass and processing bypass examples.</t>
  </si>
  <si>
    <t xml:space="preserve">69, 70, 71, 72, 78, 106</t>
  </si>
  <si>
    <t xml:space="preserve">S05</t>
  </si>
  <si>
    <t xml:space="preserve">High Dynamic Range Imaging</t>
  </si>
  <si>
    <t xml:space="preserve">OpenCV</t>
  </si>
  <si>
    <t xml:space="preserve">Official software tutorial</t>
  </si>
  <si>
    <t xml:space="preserve">Exposure fusion, HDR merge and tone-mapping sections</t>
  </si>
  <si>
    <t xml:space="preserve">Python-callable exposure calibration, merge and tone-mapping workflow.</t>
  </si>
  <si>
    <t xml:space="preserve">Apache-2.0 project documentation/code</t>
  </si>
  <si>
    <t xml:space="preserve">https://github.com/opencv/opencv/blob/4.x/LICENSE</t>
  </si>
  <si>
    <t xml:space="preserve">28, 29, 31</t>
  </si>
  <si>
    <t xml:space="preserve">S06</t>
  </si>
  <si>
    <t xml:space="preserve">Robust Patch-Based HDR Reconstruction of Dynamic Scenes</t>
  </si>
  <si>
    <t xml:space="preserve">Sen et al., ACM SIGGRAPH Asia</t>
  </si>
  <si>
    <t xml:space="preserve">2012</t>
  </si>
  <si>
    <t xml:space="preserve">Primary research paper (PDF)</t>
  </si>
  <si>
    <t xml:space="preserve">Primary research</t>
  </si>
  <si>
    <t xml:space="preserve">Joint alignment, reconstruction, motion handling and deghosting implementation.</t>
  </si>
  <si>
    <t xml:space="preserve">30, 32, 121</t>
  </si>
  <si>
    <t xml:space="preserve">S07</t>
  </si>
  <si>
    <t xml:space="preserve">Photographic Tone Reproduction for Digital Images</t>
  </si>
  <si>
    <t xml:space="preserve">Reinhard et al.</t>
  </si>
  <si>
    <t xml:space="preserve">2002</t>
  </si>
  <si>
    <t xml:space="preserve">Global and local tone mapping, highlight roll-off and shadow/detail control equations.</t>
  </si>
  <si>
    <t xml:space="preserve">33, 34, 35, 36, 65</t>
  </si>
  <si>
    <t xml:space="preserve">S08</t>
  </si>
  <si>
    <t xml:space="preserve">Recommendation ITU-R BT.2100-3</t>
  </si>
  <si>
    <t xml:space="preserve">International Telecommunication Union</t>
  </si>
  <si>
    <t xml:space="preserve">Official international recommendation (PDF)</t>
  </si>
  <si>
    <t xml:space="preserve">pp. 3–10</t>
  </si>
  <si>
    <t xml:space="preserve">PQ/HLG transfer functions, colorimetry, subsampling and legal/full digital ranges.</t>
  </si>
  <si>
    <t xml:space="preserve">37, 72</t>
  </si>
  <si>
    <t xml:space="preserve">S09</t>
  </si>
  <si>
    <t xml:space="preserve">Image Denoising — Non-local Means</t>
  </si>
  <si>
    <t xml:space="preserve">https://docs.opencv.org/4.x/d5/d69/tutorial_py_non_local_means.html</t>
  </si>
  <si>
    <t xml:space="preserve">fastNlMeansDenoisingMulti section</t>
  </si>
  <si>
    <t xml:space="preserve">Reference multi-frame denoise implementation callable from Python.</t>
  </si>
  <si>
    <t xml:space="preserve">44, 144</t>
  </si>
  <si>
    <t xml:space="preserve">S10</t>
  </si>
  <si>
    <t xml:space="preserve">Optical Flow</t>
  </si>
  <si>
    <t xml:space="preserve">Lucas–Kanade and Farnebäck sections</t>
  </si>
  <si>
    <t xml:space="preserve">Motion estimation needed by temporal denoise, HDR alignment and stabilization.</t>
  </si>
  <si>
    <t xml:space="preserve">30, 41, 42</t>
  </si>
  <si>
    <t xml:space="preserve">S11</t>
  </si>
  <si>
    <t xml:space="preserve">DDFAPD / Menon 2007 Bayer demosaicing implementation</t>
  </si>
  <si>
    <t xml:space="preserve">Colour Developers</t>
  </si>
  <si>
    <t xml:space="preserve">Reference Python source code</t>
  </si>
  <si>
    <t xml:space="preserve">Implementation/reference</t>
  </si>
  <si>
    <t xml:space="preserve">lines 56–387</t>
  </si>
  <si>
    <t xml:space="preserve">Modular edge-directed demosaic with four Bayer patterns and refinement pass.</t>
  </si>
  <si>
    <t xml:space="preserve">BSD-3-Clause</t>
  </si>
  <si>
    <t xml:space="preserve">https://github.com/colour-science/colour-demosaicing/blob/7bff324983fb77b41444fda3bf922e354d386d1c/LICENSE</t>
  </si>
  <si>
    <t xml:space="preserve">46, 47, 49, 108, 116</t>
  </si>
  <si>
    <t xml:space="preserve">S12</t>
  </si>
  <si>
    <t xml:space="preserve">High-Quality Linear Interpolation for Demosaicing of Bayer-Patterned Color Images</t>
  </si>
  <si>
    <t xml:space="preserve">Microsoft Research</t>
  </si>
  <si>
    <t xml:space="preserve">2004</t>
  </si>
  <si>
    <t xml:space="preserve">Malvar–He–Cutler filter derivation and coefficients; useful reference against openISP's implementation.</t>
  </si>
  <si>
    <t xml:space="preserve">S13</t>
  </si>
  <si>
    <t xml:space="preserve">defringe module</t>
  </si>
  <si>
    <t xml:space="preserve">darktable</t>
  </si>
  <si>
    <t xml:space="preserve">2022</t>
  </si>
  <si>
    <t xml:space="preserve">Official project documentation</t>
  </si>
  <si>
    <t xml:space="preserve">https://docs.darktable.org/usermanual/4.0/en/module-reference/processing-modules/defringe/</t>
  </si>
  <si>
    <t xml:space="preserve">Algorithm description and controls</t>
  </si>
  <si>
    <t xml:space="preserve">Direct description of edge detection and rebuilding fringe color from less-saturated neighbours.</t>
  </si>
  <si>
    <t xml:space="preserve">GPL-3.0-or-later project; documentation cited, no code copied</t>
  </si>
  <si>
    <t xml:space="preserve">https://github.com/darktable-org/darktable/blob/master/LICENSE</t>
  </si>
  <si>
    <t xml:space="preserve">Yes — documentation only; do not copy GPL code into an independently licensed implementation</t>
  </si>
  <si>
    <t xml:space="preserve">S14</t>
  </si>
  <si>
    <t xml:space="preserve">Report ITU-R BT.2407-0 — Colour gamut conversion</t>
  </si>
  <si>
    <t xml:space="preserve">2017</t>
  </si>
  <si>
    <t xml:space="preserve">Official implementation guidance (PDF)</t>
  </si>
  <si>
    <t xml:space="preserve">Gamut-mapping workflow from BT.2020 to BT.709 and mapping-space choices.</t>
  </si>
  <si>
    <t xml:space="preserve">S15</t>
  </si>
  <si>
    <t xml:space="preserve">sRGB — Three Component Color Encoding Registry</t>
  </si>
  <si>
    <t xml:space="preserve">International Color Consortium</t>
  </si>
  <si>
    <t xml:space="preserve">Official color-encoding registry</t>
  </si>
  <si>
    <t xml:space="preserve">Authoritative primaries, white point, transfer function and range for sRGB output.</t>
  </si>
  <si>
    <t xml:space="preserve">S16</t>
  </si>
  <si>
    <t xml:space="preserve">Color Space Conversions</t>
  </si>
  <si>
    <t xml:space="preserve">Official software API documentation</t>
  </si>
  <si>
    <t xml:space="preserve">Bayer, RGB and YUV conversion codes</t>
  </si>
  <si>
    <t xml:space="preserve">Concrete Python-callable RGB/YUV conversion and Bayer pattern enumerations.</t>
  </si>
  <si>
    <t xml:space="preserve">59, 122</t>
  </si>
  <si>
    <t xml:space="preserve">S17</t>
  </si>
  <si>
    <t xml:space="preserve">Geometric Image Transformations</t>
  </si>
  <si>
    <t xml:space="preserve">resize, remap and warp sections</t>
  </si>
  <si>
    <t xml:space="preserve">Reference implementations for resize, zoom, remap and geometric warps.</t>
  </si>
  <si>
    <t xml:space="preserve">70, 71</t>
  </si>
  <si>
    <t xml:space="preserve">S18</t>
  </si>
  <si>
    <t xml:space="preserve">Camera Calibration</t>
  </si>
  <si>
    <t xml:space="preserve">Lens calibration, distortion coefficients, maps and undistortion workflow.</t>
  </si>
  <si>
    <t xml:space="preserve">S19</t>
  </si>
  <si>
    <t xml:space="preserve">Fisheye camera model</t>
  </si>
  <si>
    <t xml:space="preserve">calibrate, initUndistortRectifyMap and undistortImage</t>
  </si>
  <si>
    <t xml:space="preserve">Wide-angle/fisheye calibration and dewarping functions.</t>
  </si>
  <si>
    <t xml:space="preserve">75, 81</t>
  </si>
  <si>
    <t xml:space="preserve">S20</t>
  </si>
  <si>
    <t xml:space="preserve">Digital Video Stabilization and Rolling Shutter Correction using Gyroscopes</t>
  </si>
  <si>
    <t xml:space="preserve">Karpenko et al., Stanford</t>
  </si>
  <si>
    <t xml:space="preserve">2011</t>
  </si>
  <si>
    <t xml:space="preserve">Gyro/camera calibration, row-time warp, stabilization, crop and low-latency implementation.</t>
  </si>
  <si>
    <t xml:space="preserve">76, 77, 79, 79a, 80, 82, 85, 87</t>
  </si>
  <si>
    <t xml:space="preserve">S21</t>
  </si>
  <si>
    <t xml:space="preserve">EMVA Standard 1288 Release 3.0</t>
  </si>
  <si>
    <t xml:space="preserve">European Machine Vision Association</t>
  </si>
  <si>
    <t xml:space="preserve">2010</t>
  </si>
  <si>
    <t xml:space="preserve">Release 3.0</t>
  </si>
  <si>
    <t xml:space="preserve">Official image-sensor characterization standard (PDF)</t>
  </si>
  <si>
    <t xml:space="preserve">pp. 8–16, 21–27</t>
  </si>
  <si>
    <t xml:space="preserve">Noise, DSNU/PRNU, nonuniformity, defect-pixel measurement and calibration procedures.</t>
  </si>
  <si>
    <t xml:space="preserve">5, 8, 10, 96, 97, 101</t>
  </si>
  <si>
    <t xml:space="preserve">S22</t>
  </si>
  <si>
    <t xml:space="preserve">OpenCV Image Quality Analysis</t>
  </si>
  <si>
    <t xml:space="preserve">PSNR, SSIM, GMSD and BRISQUE classes</t>
  </si>
  <si>
    <t xml:space="preserve">Objective metrics for automated image-quality regression.</t>
  </si>
  <si>
    <t xml:space="preserve">100, 141</t>
  </si>
  <si>
    <t xml:space="preserve">S23</t>
  </si>
  <si>
    <t xml:space="preserve">numpy.testing.assert_allclose</t>
  </si>
  <si>
    <t xml:space="preserve">NumPy</t>
  </si>
  <si>
    <t xml:space="preserve">Function reference</t>
  </si>
  <si>
    <t xml:space="preserve">Numerical tolerance assertions for array-level ISP regression tests.</t>
  </si>
  <si>
    <t xml:space="preserve">https://github.com/numpy/numpy/blob/main/LICENSE.txt</t>
  </si>
  <si>
    <t xml:space="preserve">117, 127, 132</t>
  </si>
  <si>
    <t xml:space="preserve">S24</t>
  </si>
  <si>
    <t xml:space="preserve">How to parametrize fixtures and test functions</t>
  </si>
  <si>
    <t xml:space="preserve">pytest</t>
  </si>
  <si>
    <t xml:space="preserve">Official testing documentation</t>
  </si>
  <si>
    <t xml:space="preserve">@pytest.mark.parametrize section</t>
  </si>
  <si>
    <t xml:space="preserve">Systematic tests across Bayer patterns, bit depths, modes and tuning points.</t>
  </si>
  <si>
    <t xml:space="preserve">MIT</t>
  </si>
  <si>
    <t xml:space="preserve">https://github.com/pytest-dev/pytest/blob/main/LICENSE</t>
  </si>
  <si>
    <t xml:space="preserve">100, 117, 129</t>
  </si>
  <si>
    <t xml:space="preserve">S25</t>
  </si>
  <si>
    <t xml:space="preserve">openISP README at reviewed commit</t>
  </si>
  <si>
    <t xml:space="preserve">cruxopen/openISP</t>
  </si>
  <si>
    <t xml:space="preserve">2020</t>
  </si>
  <si>
    <t xml:space="preserve">Reviewed repository source</t>
  </si>
  <si>
    <t xml:space="preserve">Baseline/context</t>
  </si>
  <si>
    <t xml:space="preserve">https://github.com/cruxopen/openISP/blob/d4947e1aa5f4af83c3640131dbca8a675b613ec6/README.md</t>
  </si>
  <si>
    <t xml:space="preserve">lines 1–117</t>
  </si>
  <si>
    <t xml:space="preserve">Defines the baseline pipeline and explicitly lists unfinished HDR, temporal NR, LSC and tuning work.</t>
  </si>
  <si>
    <t xml:space="preserve">S26</t>
  </si>
  <si>
    <t xml:space="preserve">openISP pipeline at reviewed commit</t>
  </si>
  <si>
    <t xml:space="preserve">https://github.com/cruxopen/openISP/blob/d4947e1aa5f4af83c3640131dbca8a675b613ec6/isp_pipeline.py</t>
  </si>
  <si>
    <t xml:space="preserve">lines 1–326</t>
  </si>
  <si>
    <t xml:space="preserve">Shows actual stage wiring, including the disconnected gamma output.</t>
  </si>
  <si>
    <t xml:space="preserve">S27</t>
  </si>
  <si>
    <t xml:space="preserve">openISP AWB gain module at reviewed commit</t>
  </si>
  <si>
    <t xml:space="preserve">https://github.com/cruxopen/openISP/blob/d4947e1aa5f4af83c3640131dbca8a675b613ec6/model/awb.py</t>
  </si>
  <si>
    <t xml:space="preserve">Shows that the current AWB module applies supplied gains but does not estimate them.</t>
  </si>
  <si>
    <t xml:space="preserve">S28</t>
  </si>
  <si>
    <t xml:space="preserve">openISP hue/saturation module at reviewed commit</t>
  </si>
  <si>
    <t xml:space="preserve">https://github.com/cruxopen/openISP/blob/d4947e1aa5f4af83c3640131dbca8a675b613ec6/model/hsc.py</t>
  </si>
  <si>
    <t xml:space="preserve">Shows hue-rotated chroma being immediately overwritten by saturation computed from the original input.</t>
  </si>
  <si>
    <t xml:space="preserve">S29</t>
  </si>
  <si>
    <t xml:space="preserve">openISP chroma-noise module at reviewed commit</t>
  </si>
  <si>
    <t xml:space="preserve">https://github.com/cruxopen/openISP/blob/d4947e1aa5f4af83c3640131dbca8a675b613ec6/model/cnf.py</t>
  </si>
  <si>
    <t xml:space="preserve">Shows the inconsistent GRBG coordinates and invalid 3-D indexing into a 2-D result.</t>
  </si>
  <si>
    <t xml:space="preserve">S30</t>
  </si>
  <si>
    <t xml:space="preserve">openISP CFA module at reviewed commit</t>
  </si>
  <si>
    <t xml:space="preserve">https://github.com/cruxopen/openISP/blob/d4947e1aa5f4af83c3640131dbca8a675b613ec6/model/cfa.py</t>
  </si>
  <si>
    <t xml:space="preserve">Provides the repository's four-pattern coordinate mapping for cross-module validation.</t>
  </si>
  <si>
    <t xml:space="preserve">115, 116</t>
  </si>
  <si>
    <t xml:space="preserve">S31</t>
  </si>
  <si>
    <t xml:space="preserve">Lossless export of typed intermediate arrays and reproducible golden results.</t>
  </si>
  <si>
    <t xml:space="preserve">S32</t>
  </si>
  <si>
    <t xml:space="preserve">Basic indexing</t>
  </si>
  <si>
    <t xml:space="preserve">Official software documentation</t>
  </si>
  <si>
    <t xml:space="preserve">Zero-copy crop/ROI implementation for Python image arrays.</t>
  </si>
  <si>
    <t xml:space="preserve">69, 131</t>
  </si>
  <si>
    <t xml:space="preserve">S33</t>
  </si>
  <si>
    <t xml:space="preserve">Operations on arrays</t>
  </si>
  <si>
    <t xml:space="preserve">https://docs.opencv.org/4.x/d2/de8/group__core__array.html</t>
  </si>
  <si>
    <t xml:space="preserve">flip and rotate functions</t>
  </si>
  <si>
    <t xml:space="preserve">Reference functions for rotation and mirroring.</t>
  </si>
  <si>
    <t xml:space="preserve">S34</t>
  </si>
  <si>
    <t xml:space="preserve">Image file reading and writing</t>
  </si>
  <si>
    <t xml:space="preserve">imwrite/imwritemulti sections</t>
  </si>
  <si>
    <t xml:space="preserve">Export of viewable intermediate and final images.</t>
  </si>
  <si>
    <t xml:space="preserve">S35</t>
  </si>
  <si>
    <t xml:space="preserve">Security Camera Image Sensor Technology — DOL HDR and Clear HDR</t>
  </si>
  <si>
    <t xml:space="preserve">Sony Semiconductor Solutions</t>
  </si>
  <si>
    <t xml:space="preserve">Official vendor technology documentation</t>
  </si>
  <si>
    <t xml:space="preserve">Public description of staggered multi-exposure DOL readout and simultaneous high/low-gain Clear HDR.</t>
  </si>
  <si>
    <t xml:space="preserve">118, 119</t>
  </si>
  <si>
    <t xml:space="preserve">S36</t>
  </si>
  <si>
    <t xml:space="preserve">Super-Exposure Pixels Mitigate LED Flicker in the Most Demanding Automotive Environments</t>
  </si>
  <si>
    <t xml:space="preserve">onsemi</t>
  </si>
  <si>
    <t xml:space="preserve">2024</t>
  </si>
  <si>
    <t xml:space="preserve">Official vendor white paper (PDF)</t>
  </si>
  <si>
    <t xml:space="preserve">Explains PWM LED flicker, sequential and split-pixel HDR tradeoffs, super-exposure/LFM modes and calibration needs.</t>
  </si>
  <si>
    <t xml:space="preserve">118, 120, 121, 125, 126</t>
  </si>
  <si>
    <t xml:space="preserve">S37</t>
  </si>
  <si>
    <t xml:space="preserve">Quad Bayer Coding</t>
  </si>
  <si>
    <t xml:space="preserve">Quad Bayer Coding, pixel binning and remosaic sections</t>
  </si>
  <si>
    <t xml:space="preserve">Describes the 2×2 same-colour cell grouping, binning and software/hardware remosaic paths.</t>
  </si>
  <si>
    <t xml:space="preserve">S38</t>
  </si>
  <si>
    <t xml:space="preserve">Color Demosaicing of RGBW Color Filter Array Based on Laplacian Pyramid</t>
  </si>
  <si>
    <t xml:space="preserve">Kim et al., Sensors</t>
  </si>
  <si>
    <t xml:space="preserve">Primary research article</t>
  </si>
  <si>
    <t xml:space="preserve">Implementation-grade RGBW reconstruction using white-channel estimation and Laplacian-pyramid interpolation.</t>
  </si>
  <si>
    <t xml:space="preserve">CC BY 4.0</t>
  </si>
  <si>
    <t xml:space="preserve">https://creativecommons.org/licenses/by/4.0/</t>
  </si>
  <si>
    <t xml:space="preserve">S39</t>
  </si>
  <si>
    <t xml:space="preserve">Data types</t>
  </si>
  <si>
    <t xml:space="preserve">Defines fixed-width array types, limits and overflow behavior needed for an explicit intermediate-precision policy.</t>
  </si>
  <si>
    <t xml:space="preserve">127, 128</t>
  </si>
  <si>
    <t xml:space="preserve">S40</t>
  </si>
  <si>
    <t xml:space="preserve">Quantization and Dither: A Theoretical Survey</t>
  </si>
  <si>
    <t xml:space="preserve">Lipshitz, Wannamaker and Vanderkooy</t>
  </si>
  <si>
    <t xml:space="preserve">1992</t>
  </si>
  <si>
    <t xml:space="preserve">Reference treatment of quantization error, rounding and dither when reducing output precision.</t>
  </si>
  <si>
    <t xml:space="preserve">S41</t>
  </si>
  <si>
    <t xml:space="preserve">The Python Profilers</t>
  </si>
  <si>
    <t xml:space="preserve">Python Software Foundation</t>
  </si>
  <si>
    <t xml:space="preserve">https://docs.python.org/3/library/profile.html</t>
  </si>
  <si>
    <t xml:space="preserve">Deterministic per-function and cumulative-time profiling for a repeatable performance harness.</t>
  </si>
  <si>
    <t xml:space="preserve">PSF License Version 2</t>
  </si>
  <si>
    <t xml:space="preserve">https://docs.python.org/3/license.html</t>
  </si>
  <si>
    <t xml:space="preserve">S42</t>
  </si>
  <si>
    <t xml:space="preserve">tracemalloc — Trace memory allocations</t>
  </si>
  <si>
    <t xml:space="preserve">Measures allocation snapshots and peak Python memory for per-stage memory accounting.</t>
  </si>
  <si>
    <t xml:space="preserve">S43</t>
  </si>
  <si>
    <t xml:space="preserve">Broadcasting</t>
  </si>
  <si>
    <t xml:space="preserve">Array-vectorization rules and memory cautions for accelerated NumPy implementations.</t>
  </si>
  <si>
    <t xml:space="preserve">130, 132</t>
  </si>
  <si>
    <t xml:space="preserve">S44</t>
  </si>
  <si>
    <t xml:space="preserve">Adding borders to images</t>
  </si>
  <si>
    <t xml:space="preserve">Defines explicit border/halo handling needed for tiled and striped convolutional stages.</t>
  </si>
  <si>
    <t xml:space="preserve">S45</t>
  </si>
  <si>
    <t xml:space="preserve">SPDX Specification 2.3 — Package Information</t>
  </si>
  <si>
    <t xml:space="preserve">SPDX Workgroup, Linux Foundation</t>
  </si>
  <si>
    <t xml:space="preserve">Specification 2.3</t>
  </si>
  <si>
    <t xml:space="preserve">Official specification</t>
  </si>
  <si>
    <t xml:space="preserve">Machine-readable package provenance, analyzed-files state, concluded/declared licenses and copyright fields.</t>
  </si>
  <si>
    <t xml:space="preserve">133, 134</t>
  </si>
  <si>
    <t xml:space="preserve">S46</t>
  </si>
  <si>
    <t xml:space="preserve">Identifying Inventions in the Public Domain: A Guide for Inventors and Entrepreneurs</t>
  </si>
  <si>
    <t xml:space="preserve">World Intellectual Property Organization</t>
  </si>
  <si>
    <t xml:space="preserve">Official implementation guide (PDF)</t>
  </si>
  <si>
    <t xml:space="preserve">Three-stage describe/search/analyze FTO process, claims review, legal status, reporting and risk management.</t>
  </si>
  <si>
    <t xml:space="preserve">CC BY 3.0 IGO</t>
  </si>
  <si>
    <t xml:space="preserve">https://creativecommons.org/licenses/by/3.0/igo/</t>
  </si>
  <si>
    <t xml:space="preserve">S47</t>
  </si>
  <si>
    <t xml:space="preserve">ISO 12233:2024 — Resolution and spatial frequency responses</t>
  </si>
  <si>
    <t xml:space="preserve">International Organization for Standardization</t>
  </si>
  <si>
    <t xml:space="preserve">Official standard record</t>
  </si>
  <si>
    <t xml:space="preserve">Current normative camera resolution/SFR measurement standard and required test artifact.</t>
  </si>
  <si>
    <t xml:space="preserve">S48</t>
  </si>
  <si>
    <t xml:space="preserve">Application of ISO Standard Methods to Optical Design for Image Capture</t>
  </si>
  <si>
    <t xml:space="preserve">Burns et al., IS&amp;T</t>
  </si>
  <si>
    <t xml:space="preserve">Public implementation guidance for slanted-edge SFR/MTF across image field and orientations.</t>
  </si>
  <si>
    <t xml:space="preserve">S49</t>
  </si>
  <si>
    <t xml:space="preserve">The CIEDE2000 Color-Difference Formula: Implementation Notes, Supplementary Test Data, and Mathematical Observations</t>
  </si>
  <si>
    <t xml:space="preserve">Sharma, Wu and Dalal</t>
  </si>
  <si>
    <t xml:space="preserve">2005</t>
  </si>
  <si>
    <t xml:space="preserve">article pp. 21–30 plus test-data links</t>
  </si>
  <si>
    <t xml:space="preserve">Equations, implementation pitfalls and reference pairs for validating ΔE00 calculations.</t>
  </si>
  <si>
    <t xml:space="preserve">S50</t>
  </si>
  <si>
    <t xml:space="preserve">ISO 15739:2023 — Noise measurements</t>
  </si>
  <si>
    <t xml:space="preserve">Current normative output-image noise, SNR and dynamic-range measurement standard.</t>
  </si>
  <si>
    <t xml:space="preserve">137, 138</t>
  </si>
  <si>
    <t xml:space="preserve">S51</t>
  </si>
  <si>
    <t xml:space="preserve">Digital Camera Noise Measurement Tools</t>
  </si>
  <si>
    <t xml:space="preserve">Society for Imaging Science and Technology</t>
  </si>
  <si>
    <t xml:space="preserve">Official standards implementation resources</t>
  </si>
  <si>
    <t xml:space="preserve">Public tools and procedures supporting ISO 15739 output-noise measurements.</t>
  </si>
  <si>
    <t xml:space="preserve">125, 137</t>
  </si>
  <si>
    <t xml:space="preserve">S52</t>
  </si>
  <si>
    <t xml:space="preserve">ISO 14524 — OECF</t>
  </si>
  <si>
    <t xml:space="preserve">Imatest</t>
  </si>
  <si>
    <t xml:space="preserve">Standards implementation guidance</t>
  </si>
  <si>
    <t xml:space="preserve">Direct setup and analysis workflow for opto-electronic conversion function measurement.</t>
  </si>
  <si>
    <t xml:space="preserve">S53</t>
  </si>
  <si>
    <t xml:space="preserve">Image Flare Measurement According to ISO 18844</t>
  </si>
  <si>
    <t xml:space="preserve">Dietmar Wueller, IS&amp;T</t>
  </si>
  <si>
    <t xml:space="preserve">2016</t>
  </si>
  <si>
    <t xml:space="preserve">https://library.imaging.org/ei/articles/28/18/art00013</t>
  </si>
  <si>
    <t xml:space="preserve">Overview and implementation choices for field-dependent camera flare/veiling-glare measurement.</t>
  </si>
  <si>
    <t xml:space="preserve">S54</t>
  </si>
  <si>
    <t xml:space="preserve">Dehazing with Dark Channel Prior: Analysis and Implementation</t>
  </si>
  <si>
    <t xml:space="preserve">Lisani and Hessel, Image Processing On Line</t>
  </si>
  <si>
    <t xml:space="preserve">Peer-reviewed article with source code</t>
  </si>
  <si>
    <t xml:space="preserve">pp. 173–193 and source-code archive</t>
  </si>
  <si>
    <t xml:space="preserve">Complete public algorithm, parameter analysis, executable source and demo for optional aerial dehazing.</t>
  </si>
  <si>
    <t xml:space="preserve">Article/source terms stated by IPOL; review before copying code</t>
  </si>
  <si>
    <t xml:space="preserve">https://www.ipol.im/meta/terms/</t>
  </si>
  <si>
    <t xml:space="preserve">S55</t>
  </si>
  <si>
    <t xml:space="preserve">EMVA Standard 1288 Release 4.0 Linear</t>
  </si>
  <si>
    <t xml:space="preserve">2021</t>
  </si>
  <si>
    <t xml:space="preserve">Release 4.0</t>
  </si>
  <si>
    <t xml:space="preserve">pp. 12, 17–30</t>
  </si>
  <si>
    <t xml:space="preserve">Temperature dependence, dark current and controlled multi-temperature characterization methods.</t>
  </si>
  <si>
    <t xml:space="preserve">CC BY-ND 4.0</t>
  </si>
  <si>
    <t xml:space="preserve">https://creativecommons.org/licenses/by-nd/4.0/</t>
  </si>
  <si>
    <t xml:space="preserve">139, 140, 142</t>
  </si>
  <si>
    <t xml:space="preserve">S56</t>
  </si>
  <si>
    <t xml:space="preserve">Camera HAL3</t>
  </si>
  <si>
    <t xml:space="preserve">Android Open Source Project</t>
  </si>
  <si>
    <t xml:space="preserve">Official camera architecture documentation</t>
  </si>
  <si>
    <t xml:space="preserve">One-request/one-result capture semantics, one-shot and repeating requests, burst-capable pipeline and per-frame metadata.</t>
  </si>
  <si>
    <t xml:space="preserve">Apache-2.0 documentation/code samples</t>
  </si>
  <si>
    <t xml:space="preserve">https://source.android.com/license</t>
  </si>
  <si>
    <t xml:space="preserve">145, 146, 149</t>
  </si>
  <si>
    <t xml:space="preserve">S57</t>
  </si>
  <si>
    <t xml:space="preserve">Exif Version 3.1 — CIPA DC-008-Translation-2026</t>
  </si>
  <si>
    <t xml:space="preserve">Camera &amp; Imaging Products Association and JEITA</t>
  </si>
  <si>
    <t xml:space="preserve">Version 3.1</t>
  </si>
  <si>
    <t xml:space="preserve">Official standard and download record</t>
  </si>
  <si>
    <t xml:space="preserve">Current Exif still-image metadata, orientation and GPS tag definitions.</t>
  </si>
  <si>
    <t xml:space="preserve">S58</t>
  </si>
  <si>
    <t xml:space="preserve">libcamera Request and PipelineHandler API</t>
  </si>
  <si>
    <t xml:space="preserve">libcamera project</t>
  </si>
  <si>
    <t xml:space="preserve">Official API documentation</t>
  </si>
  <si>
    <t xml:space="preserve">status, reuse and completion sections</t>
  </si>
  <si>
    <t xml:space="preserve">Request lifecycle, completion/cancellation states, buffer errors and recovery semantics.</t>
  </si>
  <si>
    <t xml:space="preserve">146, 149</t>
  </si>
  <si>
    <t xml:space="preserve">S59</t>
  </si>
  <si>
    <t xml:space="preserve">Digital Negative (DNG), Adobe DNG Converter and DNG SDK</t>
  </si>
  <si>
    <t xml:space="preserve">Official format and SDK landing page</t>
  </si>
  <si>
    <t xml:space="preserve">Specifications, SDK downloads and patent-license sections</t>
  </si>
  <si>
    <t xml:space="preserve">Current SDK/validator route, writing support and DNG patent-license terms.</t>
  </si>
  <si>
    <t xml:space="preserve">S60</t>
  </si>
  <si>
    <t xml:space="preserve">PDAF (Phase Detection Auto Focus)</t>
  </si>
  <si>
    <t xml:space="preserve">Public description of image-sensor phase-difference signals and autofocus use; exact layout remains sensor-specific.</t>
  </si>
  <si>
    <t xml:space="preserve">Read Me</t>
  </si>
  <si>
    <t xml:space="preserve">Scope, taxonomy, sourcing rules and operating instructions for the source-backed professional-ISP plan. Columns D–I hold the canonical dropdown lists used by the Checklist.</t>
  </si>
  <si>
    <t xml:space="preserve">Purpose</t>
  </si>
  <si>
    <t xml:space="preserve">A modular Python reference ISP and camera-product work plan for professional camera/drone image-quality development. It covers algorithms, sensor/lens integration, product capture/output, drone extensions, and engineering/release readiness.</t>
  </si>
  <si>
    <t xml:space="preserve">Baseline reviewed</t>
  </si>
  <si>
    <t xml:space="preserve">cruxopen/openISP at immutable commit d4947e1aa5f4af83c3640131dbca8a675b613ec6. Repository citations use fixed-commit links. The project is MIT-licensed at that commit.</t>
  </si>
  <si>
    <t xml:space="preserve">S</t>
  </si>
  <si>
    <t xml:space="preserve">Immutable IDs</t>
  </si>
  <si>
    <t xml:space="preserve">Existing numeric IDs 1–117 were not renumbered. Item 7 keeps spatial lens shading while 7a owns CCT/CRA-dependent color shading. Item 79 keeps stabilization while 79a owns timestamp/delay/extrinsic calibration. Their moved clauses are not duplicated.</t>
  </si>
  <si>
    <t xml:space="preserve">Taxonomy</t>
  </si>
  <si>
    <t xml:space="preserve">Category remains the pipeline/workstream grouping. Scope is the Coverage Summary pivot. Requirement level is only Core / Advanced / Optional. Applicability is a condition, not a fourth overlapping taxonomy.</t>
  </si>
  <si>
    <t xml:space="preserve">Five scopes</t>
  </si>
  <si>
    <t xml:space="preserve">1 Core ISP algorithms; 2 Sensor and lens integration; 3 Camera product integration; 4 Drone/computational-imaging extensions; 5 Engineering, validation, performance, licensing, release readiness.</t>
  </si>
  <si>
    <t xml:space="preserve">Status and completion</t>
  </si>
  <si>
    <t xml:space="preserve">Status supports Not started, In progress, Done and N/A. Completion is Done ÷ (Items − N/A), so N/A does not permanently inflate the denominator.</t>
  </si>
  <si>
    <t xml:space="preserve">Capacity and formulas</t>
  </si>
  <si>
    <t xml:space="preserve">The Checklist is a real table through row 300. Summary formulas, dropdown validations and checklist conditional formatting use the same final row. Populate a reserved blank row rather than inserting below the table.</t>
  </si>
  <si>
    <t xml:space="preserve">Source policy</t>
  </si>
  <si>
    <t xml:space="preserve">Primary/official standards, vendor material, implementation documentation, primary papers and fixed source-code permalinks were preferred. PDF references use printed page numbers; web/code citations name or directly target the relevant section.</t>
  </si>
  <si>
    <t xml:space="preserve">Sensor-specific escape valve</t>
  </si>
  <si>
    <t xml:space="preserve">DOL/DCG/LBMF packing, conversion-gain calibration, Quad-Bayer remosaic, RCCB/RGBW reconstruction, LFM and PDAF cannot be completed from public sources alone. Those rows name the exact vendor/NDA artifact required and remain source-incomplete until it is supplied.</t>
  </si>
  <si>
    <t xml:space="preserve">Source-fit trend</t>
  </si>
  <si>
    <t xml:space="preserve">A lower Direct share after adding sensor and adaptation rows is honesty appearing in the metric, not coverage regression. Direct, Pattern adaptation and Sensor-specific describe evidence fit—not implementation quality.</t>
  </si>
  <si>
    <t xml:space="preserve">Licensing</t>
  </si>
  <si>
    <t xml:space="preserve">Citing documentation does not copy code or impose that project's code license on an independent implementation. For example, darktable documentation is cited for algorithm behavior, while its GPL code is marked clean-room-sensitive. Source Library records license/reuse, code-copied and clean-room fields; legal review still owns release decisions.</t>
  </si>
  <si>
    <t xml:space="preserve">Planning fields</t>
  </si>
  <si>
    <t xml:space="preserve">Priority, effort, dependencies, acceptance criteria, verification method, deliverable/module, owner and milestone are explicit. Dependencies are comma-separated checklist IDs and are checked by the verifier.</t>
  </si>
  <si>
    <t xml:space="preserve">How to use</t>
  </si>
  <si>
    <t xml:space="preserve">Filter by Scope, Category, Requirement level, Priority, Source fit or Status. Assign owners/milestones, replace required-artifact placeholders with controlled document identifiers, then execute dependencies before dependent items.</t>
  </si>
  <si>
    <t xml:space="preserve">Verification</t>
  </si>
  <si>
    <t xml:space="preserve">Run verify_isp_checklist.py on the delivered XLSX. It inspects the actual package for tables/filters, frozen panes, hyperlinks, aligned row bounds, validations, formula coverage, unique IDs/dependencies and a LibreOffice row-200 recalculation test.</t>
  </si>
  <si>
    <t xml:space="preserve">Commercial boundary</t>
  </si>
  <si>
    <t xml:space="preserve">This is not an RTL/silicon signoff, codec, manufacturing, safety-certification or legal opinion. Product deployment still requires target-hardware performance/IQ qualification, sensor-vendor compliance, security/safety work and counsel approval.</t>
  </si>
</sst>
</file>

<file path=xl/styles.xml><?xml version="1.0" encoding="utf-8"?>
<styleSheet xmlns="http://schemas.openxmlformats.org/spreadsheetml/2006/main">
  <numFmts count="3">
    <numFmt numFmtId="164" formatCode="General"/>
    <numFmt numFmtId="165" formatCode="@"/>
    <numFmt numFmtId="166" formatCode="0.0%"/>
  </numFmts>
  <fonts count="14">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Aptos Display"/>
      <family val="0"/>
      <charset val="1"/>
    </font>
    <font>
      <i val="true"/>
      <sz val="11"/>
      <color rgb="FF15324B"/>
      <name val="Aptos"/>
      <family val="0"/>
      <charset val="1"/>
    </font>
    <font>
      <b val="true"/>
      <sz val="10"/>
      <color rgb="FFFFFFFF"/>
      <name val="Aptos"/>
      <family val="0"/>
      <charset val="1"/>
    </font>
    <font>
      <sz val="9"/>
      <name val="Aptos"/>
      <family val="0"/>
      <charset val="1"/>
    </font>
    <font>
      <sz val="9"/>
      <color rgb="FF0563C1"/>
      <name val="Aptos"/>
      <family val="0"/>
      <charset val="1"/>
    </font>
    <font>
      <b val="true"/>
      <sz val="11"/>
      <color rgb="FF15324B"/>
      <name val="Aptos"/>
      <family val="0"/>
      <charset val="1"/>
    </font>
    <font>
      <b val="true"/>
      <sz val="11"/>
      <color rgb="FFFFFFFF"/>
      <name val="Aptos"/>
      <family val="0"/>
      <charset val="1"/>
    </font>
    <font>
      <sz val="10"/>
      <name val="Aptos"/>
      <family val="0"/>
      <charset val="1"/>
    </font>
    <font>
      <b val="true"/>
      <sz val="9"/>
      <color rgb="FFFFFFFF"/>
      <name val="Aptos"/>
      <family val="0"/>
      <charset val="1"/>
    </font>
  </fonts>
  <fills count="6">
    <fill>
      <patternFill patternType="none"/>
    </fill>
    <fill>
      <patternFill patternType="gray125"/>
    </fill>
    <fill>
      <patternFill patternType="solid">
        <fgColor rgb="FF15324B"/>
        <bgColor rgb="FF333333"/>
      </patternFill>
    </fill>
    <fill>
      <patternFill patternType="solid">
        <fgColor rgb="FFEAF2F8"/>
        <bgColor rgb="FFE5E7EB"/>
      </patternFill>
    </fill>
    <fill>
      <patternFill patternType="solid">
        <fgColor rgb="FF0F766E"/>
        <bgColor rgb="FF156082"/>
      </patternFill>
    </fill>
    <fill>
      <patternFill patternType="solid">
        <fgColor rgb="FFD9F0EC"/>
        <bgColor rgb="FFD1FAE5"/>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4" fontId="7" fillId="4" borderId="1" xfId="20" applyFont="true" applyBorder="true" applyAlignment="true" applyProtection="false">
      <alignment horizontal="general" vertical="center" textRotation="0" wrapText="tru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5" fontId="8" fillId="0" borderId="1" xfId="20" applyFont="true" applyBorder="true" applyAlignment="true" applyProtection="false">
      <alignment horizontal="general" vertical="top" textRotation="0" wrapText="true" indent="0" shrinkToFit="false"/>
      <protection locked="true" hidden="false"/>
    </xf>
    <xf numFmtId="164" fontId="9" fillId="0" borderId="1" xfId="20" applyFont="true" applyBorder="true" applyAlignment="true" applyProtection="false">
      <alignment horizontal="general" vertical="top" textRotation="0" wrapText="true" indent="0" shrinkToFit="false"/>
      <protection locked="true" hidden="false"/>
    </xf>
    <xf numFmtId="164" fontId="10" fillId="5" borderId="1" xfId="20" applyFont="true" applyBorder="true" applyAlignment="true" applyProtection="false">
      <alignment horizontal="general" vertical="center" textRotation="0" wrapText="true" indent="0" shrinkToFit="false"/>
      <protection locked="true" hidden="false"/>
    </xf>
    <xf numFmtId="166" fontId="10" fillId="5" borderId="1" xfId="20" applyFont="true" applyBorder="true" applyAlignment="true" applyProtection="false">
      <alignment horizontal="general" vertical="center" textRotation="0" wrapText="true" indent="0" shrinkToFit="false"/>
      <protection locked="true" hidden="false"/>
    </xf>
    <xf numFmtId="164" fontId="11" fillId="4" borderId="1" xfId="20" applyFont="true" applyBorder="true" applyAlignment="true" applyProtection="false">
      <alignment horizontal="general" vertical="bottom" textRotation="0" wrapText="true" indent="0" shrinkToFit="false"/>
      <protection locked="true" hidden="false"/>
    </xf>
    <xf numFmtId="164" fontId="12" fillId="0" borderId="1" xfId="20" applyFont="true" applyBorder="true" applyAlignment="true" applyProtection="false">
      <alignment horizontal="general" vertical="center" textRotation="0" wrapText="true" indent="0" shrinkToFit="false"/>
      <protection locked="true" hidden="false"/>
    </xf>
    <xf numFmtId="166" fontId="12" fillId="0" borderId="1" xfId="20" applyFont="true" applyBorder="true" applyAlignment="true" applyProtection="false">
      <alignment horizontal="general" vertical="center" textRotation="0" wrapText="true" indent="0" shrinkToFit="false"/>
      <protection locked="true" hidden="false"/>
    </xf>
    <xf numFmtId="164" fontId="11" fillId="2" borderId="0" xfId="20" applyFont="true" applyBorder="true" applyAlignment="false" applyProtection="false">
      <alignment horizontal="general" vertical="bottom" textRotation="0" wrapText="false" indent="0" shrinkToFit="false"/>
      <protection locked="true" hidden="false"/>
    </xf>
    <xf numFmtId="164" fontId="12" fillId="0" borderId="1" xfId="20" applyFont="true" applyBorder="true" applyAlignment="true" applyProtection="false">
      <alignment horizontal="general" vertical="top" textRotation="0" wrapText="true" indent="0" shrinkToFit="false"/>
      <protection locked="true" hidden="false"/>
    </xf>
    <xf numFmtId="164" fontId="7" fillId="4" borderId="1" xfId="20" applyFont="true" applyBorder="true" applyAlignment="true" applyProtection="false">
      <alignment horizontal="general" vertical="bottom" textRotation="0" wrapText="true" indent="0" shrinkToFit="false"/>
      <protection locked="true" hidden="false"/>
    </xf>
    <xf numFmtId="164" fontId="10" fillId="5" borderId="1" xfId="20" applyFont="true" applyBorder="true" applyAlignment="true" applyProtection="false">
      <alignment horizontal="general" vertical="top" textRotation="0" wrapText="false" indent="0" shrinkToFit="false"/>
      <protection locked="true" hidden="false"/>
    </xf>
    <xf numFmtId="164" fontId="13" fillId="4" borderId="1"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30">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
      <fill>
        <patternFill patternType="solid">
          <fgColor rgb="FFFEE2E2"/>
          <bgColor rgb="FF000000"/>
        </patternFill>
      </fill>
    </dxf>
    <dxf>
      <fill>
        <patternFill patternType="solid">
          <fgColor rgb="FF991B1B"/>
          <bgColor rgb="FF000000"/>
        </patternFill>
      </fill>
    </dxf>
    <dxf>
      <fill>
        <patternFill patternType="solid">
          <fgColor rgb="FFFDECEC"/>
          <bgColor rgb="FF000000"/>
        </patternFill>
      </fill>
    </dxf>
    <dxf>
      <fill>
        <patternFill patternType="solid">
          <fgColor rgb="FFFFF4E5"/>
          <bgColor rgb="FF000000"/>
        </patternFill>
      </fill>
    </dxf>
    <dxf>
      <fill>
        <patternFill patternType="solid">
          <fgColor rgb="FF9A4A00"/>
          <bgColor rgb="FF000000"/>
        </patternFill>
      </fill>
    </dxf>
    <dxf>
      <fill>
        <patternFill patternType="solid">
          <fgColor rgb="FF9B1C1C"/>
          <bgColor rgb="FF000000"/>
        </patternFill>
      </fill>
    </dxf>
    <dxf>
      <fill>
        <patternFill patternType="solid">
          <fgColor rgb="FF0563C1"/>
          <bgColor rgb="FF000000"/>
        </patternFill>
      </fill>
    </dxf>
    <dxf>
      <font>
        <b val="1"/>
        <color rgb="FF065F46"/>
      </font>
      <fill>
        <patternFill>
          <bgColor rgb="FFD1FAE5"/>
        </patternFill>
      </fill>
    </dxf>
    <dxf>
      <font>
        <b val="1"/>
        <color rgb="FF92400E"/>
      </font>
      <fill>
        <patternFill>
          <bgColor rgb="FFFEF3C7"/>
        </patternFill>
      </fill>
    </dxf>
    <dxf>
      <font>
        <i val="1"/>
        <color rgb="FF4B5563"/>
      </font>
      <fill>
        <patternFill>
          <bgColor rgb="FFE5E7EB"/>
        </patternFill>
      </fill>
    </dxf>
    <dxf>
      <font>
        <color rgb="FF9A4A00"/>
      </font>
      <fill>
        <patternFill>
          <bgColor rgb="FFFFF4E5"/>
        </patternFill>
      </fill>
    </dxf>
    <dxf>
      <font>
        <color rgb="FF9B1C1C"/>
      </font>
      <fill>
        <patternFill>
          <bgColor rgb="FFFDECEC"/>
        </patternFill>
      </fill>
    </dxf>
    <dxf>
      <font>
        <b val="1"/>
        <color rgb="FF991B1B"/>
      </font>
      <fill>
        <patternFill>
          <bgColor rgb="FFFEE2E2"/>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
      <font>
        <color rgb="FF000000"/>
      </font>
      <border diagonalUp="false" diagonalDown="false">
        <left style="thin">
          <color theme="6" tint="0.4"/>
        </left>
        <right style="thin">
          <color theme="6" tint="0.4"/>
        </right>
        <top style="thin">
          <color theme="6" tint="0.4"/>
        </top>
        <bottom style="thin">
          <color theme="6" tint="0.4"/>
        </bottom>
        <diagonal/>
      </border>
    </dxf>
    <dxf>
      <fill>
        <patternFill>
          <bgColor theme="6" tint="0.8"/>
        </patternFill>
      </fill>
    </dxf>
    <dxf>
      <fill>
        <patternFill>
          <bgColor theme="6" tint="0.8"/>
        </patternFill>
      </fill>
    </dxf>
    <dxf>
      <font>
        <b val="1"/>
        <color rgb="FF000000"/>
      </font>
    </dxf>
    <dxf>
      <font>
        <b val="1"/>
        <color rgb="FF000000"/>
      </font>
    </dxf>
    <dxf>
      <font>
        <b val="1"/>
        <color rgb="FFFFFFFF"/>
      </font>
      <fill>
        <patternFill>
          <bgColor theme="6"/>
        </patternFill>
      </fill>
    </dxf>
    <dxf>
      <font>
        <b val="1"/>
        <color rgb="FF000000"/>
      </font>
      <border diagonalUp="false" diagonalDown="false">
        <left/>
        <right/>
        <top style="double">
          <color theme="6"/>
        </top>
        <bottom/>
        <diagonal/>
      </border>
    </dxf>
  </dxfs>
  <tableStyles count="2">
    <tableStyle count="7" name="TableStyleMedium2">
      <tableStyleElement dxfId="16" type="wholeTable"/>
      <tableStyleElement dxfId="17" type="firstColumnStripe"/>
      <tableStyleElement dxfId="18" type="firstRowStripe"/>
      <tableStyleElement dxfId="19" type="lastColumn"/>
      <tableStyleElement dxfId="20" type="firstColumn"/>
      <tableStyleElement dxfId="21" type="headerRow"/>
      <tableStyleElement dxfId="22" type="totalRow"/>
    </tableStyle>
    <tableStyle count="7" name="TableStyleMedium4">
      <tableStyleElement dxfId="23" type="wholeTable"/>
      <tableStyleElement dxfId="24" type="firstColumnStripe"/>
      <tableStyleElement dxfId="25" type="firstRowStripe"/>
      <tableStyleElement dxfId="26" type="lastColumn"/>
      <tableStyleElement dxfId="27" type="firstColumn"/>
      <tableStyleElement dxfId="28" type="headerRow"/>
      <tableStyleElement dxfId="29" type="totalRow"/>
    </tableStyle>
  </tableStyles>
  <colors>
    <indexedColors>
      <rgbColor rgb="FF000000"/>
      <rgbColor rgb="FFFFFFFF"/>
      <rgbColor rgb="FFFF0000"/>
      <rgbColor rgb="FF00FF00"/>
      <rgbColor rgb="FF0000FF"/>
      <rgbColor rgb="FFFFFF00"/>
      <rgbColor rgb="FFFF00FF"/>
      <rgbColor rgb="FF00FFFF"/>
      <rgbColor rgb="FF991B1B"/>
      <rgbColor rgb="FF196B24"/>
      <rgbColor rgb="FF000080"/>
      <rgbColor rgb="FF808000"/>
      <rgbColor rgb="FF800080"/>
      <rgbColor rgb="FF0F766E"/>
      <rgbColor rgb="FFE5E7EB"/>
      <rgbColor rgb="FF808080"/>
      <rgbColor rgb="FF9999FF"/>
      <rgbColor rgb="FF9A4A00"/>
      <rgbColor rgb="FFFEF3C7"/>
      <rgbColor rgb="FFD9F0EC"/>
      <rgbColor rgb="FF660066"/>
      <rgbColor rgb="FFFF8080"/>
      <rgbColor rgb="FF0563C1"/>
      <rgbColor rgb="FFD0D7DE"/>
      <rgbColor rgb="FF000080"/>
      <rgbColor rgb="FFFF00FF"/>
      <rgbColor rgb="FFFFFF00"/>
      <rgbColor rgb="FF00FFFF"/>
      <rgbColor rgb="FF800080"/>
      <rgbColor rgb="FF9B1C1C"/>
      <rgbColor rgb="FF156082"/>
      <rgbColor rgb="FF0000FF"/>
      <rgbColor rgb="FF00CCFF"/>
      <rgbColor rgb="FFEAF2F8"/>
      <rgbColor rgb="FFD1FAE5"/>
      <rgbColor rgb="FFFFF4E5"/>
      <rgbColor rgb="FFFDECEC"/>
      <rgbColor rgb="FFFF99CC"/>
      <rgbColor rgb="FFCC99FF"/>
      <rgbColor rgb="FFFEE2E2"/>
      <rgbColor rgb="FF3366FF"/>
      <rgbColor rgb="FF46B1E1"/>
      <rgbColor rgb="FF99CC00"/>
      <rgbColor rgb="FFFFCC00"/>
      <rgbColor rgb="FFFF9900"/>
      <rgbColor rgb="FFFF6600"/>
      <rgbColor rgb="FF4B5563"/>
      <rgbColor rgb="FF969696"/>
      <rgbColor rgb="FF15324B"/>
      <rgbColor rgb="FF47D45A"/>
      <rgbColor rgb="FF065F46"/>
      <rgbColor rgb="FF333300"/>
      <rgbColor rgb="FF92400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x:table xmlns:x="http://schemas.openxmlformats.org/spreadsheetml/2006/main" id="1" name="ISPChecklistTable" displayName="ISPChecklistTable" ref="A3:Z300" headerRowCount="1" totalsRowCount="0" totalsRowShown="0">
  <x:autoFilter ref="A3:Z300"/>
  <x:tableColumns count="26">
    <x:tableColumn id="1" name="Status"/>
    <x:tableColumn id="2" name="ID"/>
    <x:tableColumn id="3" name="Category"/>
    <x:tableColumn id="4" name="Scope"/>
    <x:tableColumn id="5" name="Requirement level"/>
    <x:tableColumn id="6" name="Applicability"/>
    <x:tableColumn id="7" name="Priority"/>
    <x:tableColumn id="8" name="Effort"/>
    <x:tableColumn id="9" name="Capability"/>
    <x:tableColumn id="10" name="Source fit"/>
    <x:tableColumn id="11" name="Primary source"/>
    <x:tableColumn id="12" name="Page / section"/>
    <x:tableColumn id="13" name="Implementation checklist"/>
    <x:tableColumn id="14" name="Acceptance criteria"/>
    <x:tableColumn id="15" name="Verification method"/>
    <x:tableColumn id="16" name="Dependencies"/>
    <x:tableColumn id="17" name="Deliverable / module"/>
    <x:tableColumn id="18" name="Primary URL"/>
    <x:tableColumn id="19" name="Supplemental source"/>
    <x:tableColumn id="20" name="Supp. page / section"/>
    <x:tableColumn id="21" name="Supplemental URL"/>
    <x:tableColumn id="22" name="Required artifact"/>
    <x:tableColumn id="23" name="IP / license status"/>
    <x:tableColumn id="24" name="Owner"/>
    <x:tableColumn id="25" name="Target milestone"/>
    <x:tableColumn id="26" name="Notes"/>
  </x:tableColumns>
  <x:tableStyleInfo name="TableStyleMedium2" showFirstColumn="0" showLastColumn="0" showRowStripes="1" showColumnStripes="0"/>
</x:table>
</file>

<file path=xl/tables/table2.xml><?xml version="1.0" encoding="utf-8"?>
<x:table xmlns:x="http://schemas.openxmlformats.org/spreadsheetml/2006/main" id="2" name="ISPSourceLibraryTable" displayName="ISPSourceLibraryTable" ref="A3:Q63" headerRowCount="1" totalsRowCount="0" totalsRowShown="0">
  <x:autoFilter ref="A3:Q63"/>
  <x:tableColumns count="17">
    <x:tableColumn id="1" name="ID"/>
    <x:tableColumn id="2" name="Source"/>
    <x:tableColumn id="3" name="Organization / authors"/>
    <x:tableColumn id="4" name="Published / revision"/>
    <x:tableColumn id="5" name="Version"/>
    <x:tableColumn id="6" name="Accessed date"/>
    <x:tableColumn id="7" name="Type"/>
    <x:tableColumn id="8" name="Source role"/>
    <x:tableColumn id="9" name="URL"/>
    <x:tableColumn id="10" name="Pages / sections used"/>
    <x:tableColumn id="11" name="Why this source is useful"/>
    <x:tableColumn id="12" name="License / reuse"/>
    <x:tableColumn id="13" name="License URL"/>
    <x:tableColumn id="14" name="Code copied?"/>
    <x:tableColumn id="15" name="Clean-room required?"/>
    <x:tableColumn id="16" name="Required artifact"/>
    <x:tableColumn id="17" name="Used by checklist IDs"/>
  </x:tableColumns>
  <x:tableStyleInfo name="TableStyleMedium4" showFirstColumn="0" showLastColumn="0" showRowStripes="1" showColumnStripes="0"/>
</x: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228" Type="http://schemas.openxmlformats.org/officeDocument/2006/relationships/table" Target="../tables/table1.xml" />
<Relationship Id="rIdHyperlink1"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3"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4" Type="http://schemas.openxmlformats.org/officeDocument/2006/relationships/hyperlink" Target="https://docs.kernel.org/userspace-api/media/v4l/metafmt-rkisp1.html#:~:text=Automatic%20mode%20activated%20means%20that%20the%20measured%20values%20are%20subtracted" TargetMode="External" /><Relationship Id="rIdHyperlink5"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6"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7" Type="http://schemas.openxmlformats.org/officeDocument/2006/relationships/hyperlink" Target="https://www.emva.org/wp-content/uploads/EMVA1288-3.0.pdf" TargetMode="External" /><Relationship Id="rIdHyperlink8" Type="http://schemas.openxmlformats.org/officeDocument/2006/relationships/hyperlink" Target="https://datasheets.raspberrypi.com/camera/raspberry-pi-camera-guide.pdf" TargetMode="External" /><Relationship Id="rIdHyperlink9" Type="http://schemas.openxmlformats.org/officeDocument/2006/relationships/hyperlink" Target="https://datasheets.raspberrypi.com/camera/raspberry-pi-camera-guide.pdf" TargetMode="External" /><Relationship Id="rIdHyperlink10"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1" Type="http://schemas.openxmlformats.org/officeDocument/2006/relationships/hyperlink" Target="https://datasheets.raspberrypi.com/camera/raspberry-pi-camera-guide.pdf" TargetMode="External" /><Relationship Id="rIdHyperlink1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3"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4" Type="http://schemas.openxmlformats.org/officeDocument/2006/relationships/hyperlink" Target="https://www.emva.org/wp-content/uploads/EMVA1288-3.0.pdf" TargetMode="External" /><Relationship Id="rIdHyperlink15"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6" Type="http://schemas.openxmlformats.org/officeDocument/2006/relationships/hyperlink" Target="https://datasheets.raspberrypi.com/camera/raspberry-pi-camera-guide.pdf" TargetMode="External" /><Relationship Id="rIdHyperlink17" Type="http://schemas.openxmlformats.org/officeDocument/2006/relationships/hyperlink" Target="https://datasheets.raspberrypi.com/camera/raspberry-pi-camera-guide.pdf" TargetMode="External" /><Relationship Id="rIdHyperlink18" Type="http://schemas.openxmlformats.org/officeDocument/2006/relationships/hyperlink" Target="https://www.emva.org/wp-content/uploads/EMVA1288-3.0.pdf" TargetMode="External" /><Relationship Id="rIdHyperlink19" Type="http://schemas.openxmlformats.org/officeDocument/2006/relationships/hyperlink" Target="https://docs.kernel.org/userspace-api/media/v4l/metafmt-rkisp1.html#:~:text=The%20statistics%20collected%20are%20Exposure" TargetMode="External" /><Relationship Id="rIdHyperlink20" Type="http://schemas.openxmlformats.org/officeDocument/2006/relationships/hyperlink" Target="https://docs.kernel.org/userspace-api/media/v4l/metafmt-rkisp1.html#:~:text=Measurements%20are%20calculated%20per%20window" TargetMode="External" /><Relationship Id="rIdHyperlink21" Type="http://schemas.openxmlformats.org/officeDocument/2006/relationships/hyperlink" Target="https://datasheets.raspberrypi.com/camera/raspberry-pi-camera-guide.pdf" TargetMode="External" /><Relationship Id="rIdHyperlink22" Type="http://schemas.openxmlformats.org/officeDocument/2006/relationships/hyperlink" Target="https://datasheets.raspberrypi.com/camera/raspberry-pi-camera-guide.pdf" TargetMode="External" /><Relationship Id="rIdHyperlink23" Type="http://schemas.openxmlformats.org/officeDocument/2006/relationships/hyperlink" Target="https://docs.kernel.org/userspace-api/media/v4l/metafmt-rkisp1.html#:~:text=Configuration%20for%20the%20AWB%20statistics" TargetMode="External" /><Relationship Id="rIdHyperlink24" Type="http://schemas.openxmlformats.org/officeDocument/2006/relationships/hyperlink" Target="https://datasheets.raspberrypi.com/camera/raspberry-pi-camera-guide.pdf" TargetMode="External" /><Relationship Id="rIdHyperlink25" Type="http://schemas.openxmlformats.org/officeDocument/2006/relationships/hyperlink" Target="https://docs.kernel.org/userspace-api/media/v4l/metafmt-rkisp1.html#:~:text=The%20statistics%20collected%20are%20Exposure" TargetMode="External" /><Relationship Id="rIdHyperlink26" Type="http://schemas.openxmlformats.org/officeDocument/2006/relationships/hyperlink" Target="https://datasheets.raspberrypi.com/camera/raspberry-pi-camera-guide.pdf" TargetMode="External" /><Relationship Id="rIdHyperlink27" Type="http://schemas.openxmlformats.org/officeDocument/2006/relationships/hyperlink" Target="https://datasheets.raspberrypi.com/camera/raspberry-pi-camera-guide.pdf" TargetMode="External" /><Relationship Id="rIdHyperlink28" Type="http://schemas.openxmlformats.org/officeDocument/2006/relationships/hyperlink" Target="https://datasheets.raspberrypi.com/camera/raspberry-pi-camera-guide.pdf" TargetMode="External" /><Relationship Id="rIdHyperlink29" Type="http://schemas.openxmlformats.org/officeDocument/2006/relationships/hyperlink" Target="https://datasheets.raspberrypi.com/camera/raspberry-pi-camera-guide.pdf" TargetMode="External" /><Relationship Id="rIdHyperlink30" Type="http://schemas.openxmlformats.org/officeDocument/2006/relationships/hyperlink" Target="https://datasheets.raspberrypi.com/camera/raspberry-pi-camera-guide.pdf" TargetMode="External" /><Relationship Id="rIdHyperlink31" Type="http://schemas.openxmlformats.org/officeDocument/2006/relationships/hyperlink" Target="https://docs.kernel.org/userspace-api/media/v4l/metafmt-rkisp1.html#:~:text=Measurements%20are%20calculated%20per%20window" TargetMode="External" /><Relationship Id="rIdHyperlink32" Type="http://schemas.openxmlformats.org/officeDocument/2006/relationships/hyperlink" Target="https://datasheets.raspberrypi.com/camera/raspberry-pi-camera-guide.pdf" TargetMode="External" /><Relationship Id="rIdHyperlink33" Type="http://schemas.openxmlformats.org/officeDocument/2006/relationships/hyperlink" Target="https://datasheets.raspberrypi.com/camera/raspberry-pi-camera-guide.pdf" TargetMode="External" /><Relationship Id="rIdHyperlink34" Type="http://schemas.openxmlformats.org/officeDocument/2006/relationships/hyperlink" Target="https://datasheets.raspberrypi.com/camera/raspberry-pi-camera-guide.pdf" TargetMode="External" /><Relationship Id="rIdHyperlink35" Type="http://schemas.openxmlformats.org/officeDocument/2006/relationships/hyperlink" Target="https://datasheets.raspberrypi.com/camera/raspberry-pi-camera-guide.pdf" TargetMode="External" /><Relationship Id="rIdHyperlink36" Type="http://schemas.openxmlformats.org/officeDocument/2006/relationships/hyperlink" Target="https://datasheets.raspberrypi.com/camera/raspberry-pi-camera-guide.pdf" TargetMode="External" /><Relationship Id="rIdHyperlink37" Type="http://schemas.openxmlformats.org/officeDocument/2006/relationships/hyperlink" Target="https://datasheets.raspberrypi.com/camera/raspberry-pi-camera-guide.pdf" TargetMode="External" /><Relationship Id="rIdHyperlink38" Type="http://schemas.openxmlformats.org/officeDocument/2006/relationships/hyperlink" Target="https://datasheets.raspberrypi.com/camera/raspberry-pi-camera-guide.pdf" TargetMode="External" /><Relationship Id="rIdHyperlink39" Type="http://schemas.openxmlformats.org/officeDocument/2006/relationships/hyperlink" Target="https://datasheets.raspberrypi.com/camera/raspberry-pi-camera-guide.pdf" TargetMode="External" /><Relationship Id="rIdHyperlink40" Type="http://schemas.openxmlformats.org/officeDocument/2006/relationships/hyperlink" Target="https://docs.opencv.org/4.x/d2/df0/tutorial_py_hdr.html#:~:text=HDR%20images%20encompass%20the%20information" TargetMode="External" /><Relationship Id="rIdHyperlink41" Type="http://schemas.openxmlformats.org/officeDocument/2006/relationships/hyperlink" Target="https://datasheets.raspberrypi.com/camera/raspberry-pi-camera-guide.pdf" TargetMode="External" /><Relationship Id="rIdHyperlink4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43" Type="http://schemas.openxmlformats.org/officeDocument/2006/relationships/hyperlink" Target="https://docs.opencv.org/4.x/d2/df0/tutorial_py_hdr.html" TargetMode="External" /><Relationship Id="rIdHyperlink44" Type="http://schemas.openxmlformats.org/officeDocument/2006/relationships/hyperlink" Target="https://people.engr.tamu.edu/nimak/Data/SIGASIA12_HDR_PatchBasedReconstruction.pdf" TargetMode="External" /><Relationship Id="rIdHyperlink45" Type="http://schemas.openxmlformats.org/officeDocument/2006/relationships/hyperlink" Target="https://docs.opencv.org/4.x/d4/dee/tutorial_optical_flow.html" TargetMode="External" /><Relationship Id="rIdHyperlink46" Type="http://schemas.openxmlformats.org/officeDocument/2006/relationships/hyperlink" Target="https://docs.opencv.org/4.x/d2/df0/tutorial_py_hdr.html#:~:text=Merge%20images%20into%20an%20HDR%20linear%20image" TargetMode="External" /><Relationship Id="rIdHyperlink47"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48" Type="http://schemas.openxmlformats.org/officeDocument/2006/relationships/hyperlink" Target="https://people.engr.tamu.edu/nimak/Data/SIGASIA12_HDR_PatchBasedReconstruction.pdf" TargetMode="External" /><Relationship Id="rIdHyperlink49" Type="http://schemas.openxmlformats.org/officeDocument/2006/relationships/hyperlink" Target="https://web.tecgraf.puc-rio.br/~scuri/inf1378/pub/reinhard.pdf" TargetMode="External" /><Relationship Id="rIdHyperlink50" Type="http://schemas.openxmlformats.org/officeDocument/2006/relationships/hyperlink" Target="https://web.tecgraf.puc-rio.br/~scuri/inf1378/pub/reinhard.pdf" TargetMode="External" /><Relationship Id="rIdHyperlink51" Type="http://schemas.openxmlformats.org/officeDocument/2006/relationships/hyperlink" Target="https://web.tecgraf.puc-rio.br/~scuri/inf1378/pub/reinhard.pdf" TargetMode="External" /><Relationship Id="rIdHyperlink52" Type="http://schemas.openxmlformats.org/officeDocument/2006/relationships/hyperlink" Target="https://web.tecgraf.puc-rio.br/~scuri/inf1378/pub/reinhard.pdf" TargetMode="External" /><Relationship Id="rIdHyperlink53" Type="http://schemas.openxmlformats.org/officeDocument/2006/relationships/hyperlink" Target="https://datasheets.raspberrypi.com/camera/raspberry-pi-camera-guide.pdf" TargetMode="External" /><Relationship Id="rIdHyperlink54" Type="http://schemas.openxmlformats.org/officeDocument/2006/relationships/hyperlink" Target="https://www.itu.int/dms_pubrec/itu-r/rec/bt/R-REC-BT.2100-3-202502-I%21%21PDF-E.pdf" TargetMode="External" /><Relationship Id="rIdHyperlink55" Type="http://schemas.openxmlformats.org/officeDocument/2006/relationships/hyperlink" Target="https://datasheets.raspberrypi.com/camera/raspberry-pi-camera-guide.pdf" TargetMode="External" /><Relationship Id="rIdHyperlink56" Type="http://schemas.openxmlformats.org/officeDocument/2006/relationships/hyperlink" Target="https://datasheets.raspberrypi.com/camera/raspberry-pi-camera-guide.pdf" TargetMode="External" /><Relationship Id="rIdHyperlink57" Type="http://schemas.openxmlformats.org/officeDocument/2006/relationships/hyperlink" Target="https://datasheets.raspberrypi.com/camera/raspberry-pi-camera-guide.pdf" TargetMode="External" /><Relationship Id="rIdHyperlink58" Type="http://schemas.openxmlformats.org/officeDocument/2006/relationships/hyperlink" Target="https://docs.opencv.org/4.x/d4/dee/tutorial_optical_flow.html#:~:text=cv.calcOpticalFlowFarneback" TargetMode="External" /><Relationship Id="rIdHyperlink59" Type="http://schemas.openxmlformats.org/officeDocument/2006/relationships/hyperlink" Target="https://docs.opencv.org/4.x/d4/dee/tutorial_optical_flow.html" TargetMode="External" /><Relationship Id="rIdHyperlink60" Type="http://schemas.openxmlformats.org/officeDocument/2006/relationships/hyperlink" Target="https://datasheets.raspberrypi.com/camera/raspberry-pi-camera-guide.pdf" TargetMode="External" /><Relationship Id="rIdHyperlink61" Type="http://schemas.openxmlformats.org/officeDocument/2006/relationships/hyperlink" Target="https://docs.kernel.org/userspace-api/media/v4l/metafmt-rkisp1.html#:~:text=This%20structure%20stores%20the%20configuration%20of%20one%20set%20of%20methods" TargetMode="External" /><Relationship Id="rIdHyperlink62" Type="http://schemas.openxmlformats.org/officeDocument/2006/relationships/hyperlink" Target="https://docs.opencv.org/4.x/d5/d69/tutorial_py_non_local_means.html#:~:text=cv.fastNlMeansDenoisingMulti" TargetMode="External" /><Relationship Id="rIdHyperlink63" Type="http://schemas.openxmlformats.org/officeDocument/2006/relationships/hyperlink" Target="https://docs.kernel.org/userspace-api/media/v4l/metafmt-rkisp1.html#:~:text=If%20thresh_bl1%20%3C%20sum_grad" TargetMode="External" /><Relationship Id="rIdHyperlink64" Type="http://schemas.openxmlformats.org/officeDocument/2006/relationships/hyperlink" Target="https://datasheets.raspberrypi.com/camera/raspberry-pi-camera-guide.pdf" TargetMode="External" /><Relationship Id="rIdHyperlink65" Type="http://schemas.openxmlformats.org/officeDocument/2006/relationships/hyperlink" Target="https://github.com/colour-science/colour-demosaicing/blob/7bff324983fb77b41444fda3bf922e354d386d1c/colour_demosaicing/bayer/demosaicing/menon2007.py#L56-L387" TargetMode="External" /><Relationship Id="rIdHyperlink66" Type="http://schemas.openxmlformats.org/officeDocument/2006/relationships/hyperlink" Target="https://www.microsoft.com/en-us/research/wp-content/uploads/2016/02/Demosaicing_ICASSP04.pdf" TargetMode="External" /><Relationship Id="rIdHyperlink67" Type="http://schemas.openxmlformats.org/officeDocument/2006/relationships/hyperlink" Target="https://github.com/colour-science/colour-demosaicing/blob/7bff324983fb77b41444fda3bf922e354d386d1c/colour_demosaicing/bayer/demosaicing/menon2007.py#L56-L387" TargetMode="External" /><Relationship Id="rIdHyperlink68"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69" Type="http://schemas.openxmlformats.org/officeDocument/2006/relationships/hyperlink" Target="https://docs.kernel.org/userspace-api/media/v4l/metafmt-rkisp1.html#:~:text=threshold%20for%20bayer%20demosaicing%20texture%20detection" TargetMode="External" /><Relationship Id="rIdHyperlink70" Type="http://schemas.openxmlformats.org/officeDocument/2006/relationships/hyperlink" Target="https://github.com/colour-science/colour-demosaicing/blob/7bff324983fb77b41444fda3bf922e354d386d1c/colour_demosaicing/bayer/demosaicing/menon2007.py#L56-L387" TargetMode="External" /><Relationship Id="rIdHyperlink71" Type="http://schemas.openxmlformats.org/officeDocument/2006/relationships/hyperlink" Target="https://datasheets.raspberrypi.com/camera/raspberry-pi-camera-guide.pdf" TargetMode="External" /><Relationship Id="rIdHyperlink7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73" Type="http://schemas.openxmlformats.org/officeDocument/2006/relationships/hyperlink" Target="https://docs.darktable.org/usermanual/4.0/en/module-reference/processing-modules/defringe/#:~:text=This%20module%20uses%20edge-detection" TargetMode="External" /><Relationship Id="rIdHyperlink74" Type="http://schemas.openxmlformats.org/officeDocument/2006/relationships/hyperlink" Target="https://datasheets.raspberrypi.com/camera/raspberry-pi-camera-guide.pdf" TargetMode="External" /><Relationship Id="rIdHyperlink75" Type="http://schemas.openxmlformats.org/officeDocument/2006/relationships/hyperlink" Target="https://datasheets.raspberrypi.com/camera/raspberry-pi-camera-guide.pdf" TargetMode="External" /><Relationship Id="rIdHyperlink76" Type="http://schemas.openxmlformats.org/officeDocument/2006/relationships/hyperlink" Target="https://datasheets.raspberrypi.com/camera/raspberry-pi-camera-guide.pdf" TargetMode="External" /><Relationship Id="rIdHyperlink77" Type="http://schemas.openxmlformats.org/officeDocument/2006/relationships/hyperlink" Target="https://www.itu.int/dms_pub/itu-r/opb/rep/R-REP-BT.2407-2017-PDF-E.pdf" TargetMode="External" /><Relationship Id="rIdHyperlink78"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79"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80" Type="http://schemas.openxmlformats.org/officeDocument/2006/relationships/hyperlink" Target="https://registry.color.org/rgb-registry/srgb" TargetMode="External" /><Relationship Id="rIdHyperlink81" Type="http://schemas.openxmlformats.org/officeDocument/2006/relationships/hyperlink" Target="https://docs.kernel.org/userspace-api/media/v4l/metafmt-rkisp1.html#:~:text=Chrominance%20pixel%20clipping%20range%20at%20output" TargetMode="External" /><Relationship Id="rIdHyperlink82" Type="http://schemas.openxmlformats.org/officeDocument/2006/relationships/hyperlink" Target="https://docs.opencv.org/4.x/d8/d01/group__imgproc__color__conversions.html" TargetMode="External" /><Relationship Id="rIdHyperlink83"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84" Type="http://schemas.openxmlformats.org/officeDocument/2006/relationships/hyperlink" Target="https://datasheets.raspberrypi.com/camera/raspberry-pi-camera-guide.pdf" TargetMode="External" /><Relationship Id="rIdHyperlink85" Type="http://schemas.openxmlformats.org/officeDocument/2006/relationships/hyperlink" Target="https://datasheets.raspberrypi.com/camera/raspberry-pi-camera-guide.pdf" TargetMode="External" /><Relationship Id="rIdHyperlink86" Type="http://schemas.openxmlformats.org/officeDocument/2006/relationships/hyperlink" Target="https://docs.kernel.org/userspace-api/media/v4l/metafmt-rkisp1.html#:~:text=If%20thresh_bl1%20%3C%20sum_grad" TargetMode="External" /><Relationship Id="rIdHyperlink87" Type="http://schemas.openxmlformats.org/officeDocument/2006/relationships/hyperlink" Target="https://docs.kernel.org/userspace-api/media/v4l/metafmt-rkisp1.html#:~:text=threshold%20for%20bayer%20demosaicing%20texture%20detection" TargetMode="External" /><Relationship Id="rIdHyperlink88" Type="http://schemas.openxmlformats.org/officeDocument/2006/relationships/hyperlink" Target="https://datasheets.raspberrypi.com/camera/raspberry-pi-camera-guide.pdf" TargetMode="External" /><Relationship Id="rIdHyperlink89" Type="http://schemas.openxmlformats.org/officeDocument/2006/relationships/hyperlink" Target="https://web.tecgraf.puc-rio.br/~scuri/inf1378/pub/reinhard.pdf" TargetMode="External" /><Relationship Id="rIdHyperlink90" Type="http://schemas.openxmlformats.org/officeDocument/2006/relationships/hyperlink" Target="https://datasheets.raspberrypi.com/camera/raspberry-pi-camera-guide.pdf" TargetMode="External" /><Relationship Id="rIdHyperlink91"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92" Type="http://schemas.openxmlformats.org/officeDocument/2006/relationships/hyperlink" Target="https://datasheets.raspberrypi.com/camera/raspberry-pi-camera-guide.pdf" TargetMode="External" /><Relationship Id="rIdHyperlink93" Type="http://schemas.openxmlformats.org/officeDocument/2006/relationships/hyperlink" Target="https://docs.kernel.org/admin-guide/media/mali-c55.html#:~:text=To%20crop%20the%20image%20simply%20configure" TargetMode="External" /><Relationship Id="rIdHyperlink94" Type="http://schemas.openxmlformats.org/officeDocument/2006/relationships/hyperlink" Target="https://numpy.org/doc/stable/user/basics.indexing.html#basic-indexing" TargetMode="External" /><Relationship Id="rIdHyperlink95" Type="http://schemas.openxmlformats.org/officeDocument/2006/relationships/hyperlink" Target="https://docs.kernel.org/admin-guide/media/mali-c55.html#:~:text=Both%20the%20full%20resolution%20and%20downscale%20pipes%20can%20downscale" TargetMode="External" /><Relationship Id="rIdHyperlink96" Type="http://schemas.openxmlformats.org/officeDocument/2006/relationships/hyperlink" Target="https://docs.opencv.org/4.x/da/d54/group__imgproc__transform.html" TargetMode="External" /><Relationship Id="rIdHyperlink97" Type="http://schemas.openxmlformats.org/officeDocument/2006/relationships/hyperlink" Target="https://docs.kernel.org/admin-guide/media/mali-c55.html#:~:text=To%20crop%20the%20image%20simply%20configure" TargetMode="External" /><Relationship Id="rIdHyperlink98" Type="http://schemas.openxmlformats.org/officeDocument/2006/relationships/hyperlink" Target="https://docs.opencv.org/4.x/da/d54/group__imgproc__transform.html" TargetMode="External" /><Relationship Id="rIdHyperlink99" Type="http://schemas.openxmlformats.org/officeDocument/2006/relationships/hyperlink" Target="https://www.itu.int/dms_pubrec/itu-r/rec/bt/R-REC-BT.2100-3-202502-I%21%21PDF-E.pdf" TargetMode="External" /><Relationship Id="rIdHyperlink100" Type="http://schemas.openxmlformats.org/officeDocument/2006/relationships/hyperlink" Target="https://docs.kernel.org/admin-guide/media/mali-c55.html#:~:text=If%20we%20need%20to%20output%20YUV%20data" TargetMode="External" /><Relationship Id="rIdHyperlink101" Type="http://schemas.openxmlformats.org/officeDocument/2006/relationships/hyperlink" Target="https://docs.opencv.org/4.x/d2/de8/group__core__array.html#:~:text=Rotates%20a%202D%20array" TargetMode="External" /><Relationship Id="rIdHyperlink102" Type="http://schemas.openxmlformats.org/officeDocument/2006/relationships/hyperlink" Target="https://docs.opencv.org/4.x/dc/dbb/tutorial_py_calibration.html" TargetMode="External" /><Relationship Id="rIdHyperlink103" Type="http://schemas.openxmlformats.org/officeDocument/2006/relationships/hyperlink" Target="https://docs.opencv.org/4.x/db/d58/group__calib3d__fisheye.html" TargetMode="External" /><Relationship Id="rIdHyperlink104" Type="http://schemas.openxmlformats.org/officeDocument/2006/relationships/hyperlink" Target="https://graphics.stanford.edu/papers/stabilization/karpenko_gyro.pdf" TargetMode="External" /><Relationship Id="rIdHyperlink105" Type="http://schemas.openxmlformats.org/officeDocument/2006/relationships/hyperlink" Target="https://graphics.stanford.edu/papers/stabilization/karpenko_gyro.pdf" TargetMode="External" /><Relationship Id="rIdHyperlink106" Type="http://schemas.openxmlformats.org/officeDocument/2006/relationships/hyperlink" Target="https://docs.kernel.org/admin-guide/media/mali-c55.html#:~:text=Following%20which%20images%20can%20be%20captured%20from%20both" TargetMode="External" /><Relationship Id="rIdHyperlink107" Type="http://schemas.openxmlformats.org/officeDocument/2006/relationships/hyperlink" Target="https://graphics.stanford.edu/papers/stabilization/karpenko_gyro.pdf" TargetMode="External" /><Relationship Id="rIdHyperlink108" Type="http://schemas.openxmlformats.org/officeDocument/2006/relationships/hyperlink" Target="https://graphics.stanford.edu/papers/stabilization/karpenko_gyro.pdf" TargetMode="External" /><Relationship Id="rIdHyperlink109" Type="http://schemas.openxmlformats.org/officeDocument/2006/relationships/hyperlink" Target="https://graphics.stanford.edu/papers/stabilization/karpenko_gyro.pdf" TargetMode="External" /><Relationship Id="rIdHyperlink110" Type="http://schemas.openxmlformats.org/officeDocument/2006/relationships/hyperlink" Target="https://docs.opencv.org/4.x/db/d58/group__calib3d__fisheye.html" TargetMode="External" /><Relationship Id="rIdHyperlink111" Type="http://schemas.openxmlformats.org/officeDocument/2006/relationships/hyperlink" Target="https://graphics.stanford.edu/papers/stabilization/karpenko_gyro.pdf" TargetMode="External" /><Relationship Id="rIdHyperlink112" Type="http://schemas.openxmlformats.org/officeDocument/2006/relationships/hyperlink" Target="https://datasheets.raspberrypi.com/camera/raspberry-pi-camera-guide.pdf" TargetMode="External" /><Relationship Id="rIdHyperlink113" Type="http://schemas.openxmlformats.org/officeDocument/2006/relationships/hyperlink" Target="https://datasheets.raspberrypi.com/camera/raspberry-pi-camera-guide.pdf" TargetMode="External" /><Relationship Id="rIdHyperlink114" Type="http://schemas.openxmlformats.org/officeDocument/2006/relationships/hyperlink" Target="https://graphics.stanford.edu/papers/stabilization/karpenko_gyro.pdf" TargetMode="External" /><Relationship Id="rIdHyperlink115" Type="http://schemas.openxmlformats.org/officeDocument/2006/relationships/hyperlink" Target="https://datasheets.raspberrypi.com/camera/raspberry-pi-camera-guide.pdf" TargetMode="External" /><Relationship Id="rIdHyperlink116" Type="http://schemas.openxmlformats.org/officeDocument/2006/relationships/hyperlink" Target="https://graphics.stanford.edu/papers/stabilization/karpenko_gyro.pdf" TargetMode="External" /><Relationship Id="rIdHyperlink117" Type="http://schemas.openxmlformats.org/officeDocument/2006/relationships/hyperlink" Target="https://datasheets.raspberrypi.com/camera/raspberry-pi-camera-guide.pdf" TargetMode="External" /><Relationship Id="rIdHyperlink118" Type="http://schemas.openxmlformats.org/officeDocument/2006/relationships/hyperlink" Target="https://datasheets.raspberrypi.com/camera/raspberry-pi-camera-guide.pdf" TargetMode="External" /><Relationship Id="rIdHyperlink119"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20" Type="http://schemas.openxmlformats.org/officeDocument/2006/relationships/hyperlink" Target="https://datasheets.raspberrypi.com/camera/raspberry-pi-camera-guide.pdf" TargetMode="External" /><Relationship Id="rIdHyperlink121" Type="http://schemas.openxmlformats.org/officeDocument/2006/relationships/hyperlink" Target="https://datasheets.raspberrypi.com/camera/raspberry-pi-camera-guide.pdf" TargetMode="External" /><Relationship Id="rIdHyperlink122" Type="http://schemas.openxmlformats.org/officeDocument/2006/relationships/hyperlink" Target="https://datasheets.raspberrypi.com/camera/raspberry-pi-camera-guide.pdf" TargetMode="External" /><Relationship Id="rIdHyperlink123" Type="http://schemas.openxmlformats.org/officeDocument/2006/relationships/hyperlink" Target="https://datasheets.raspberrypi.com/camera/raspberry-pi-camera-guide.pdf" TargetMode="External" /><Relationship Id="rIdHyperlink124" Type="http://schemas.openxmlformats.org/officeDocument/2006/relationships/hyperlink" Target="https://datasheets.raspberrypi.com/camera/raspberry-pi-camera-guide.pdf" TargetMode="External" /><Relationship Id="rIdHyperlink125" Type="http://schemas.openxmlformats.org/officeDocument/2006/relationships/hyperlink" Target="https://datasheets.raspberrypi.com/camera/raspberry-pi-camera-guide.pdf" TargetMode="External" /><Relationship Id="rIdHyperlink126" Type="http://schemas.openxmlformats.org/officeDocument/2006/relationships/hyperlink" Target="https://datasheets.raspberrypi.com/camera/raspberry-pi-camera-guide.pdf" TargetMode="External" /><Relationship Id="rIdHyperlink127" Type="http://schemas.openxmlformats.org/officeDocument/2006/relationships/hyperlink" Target="https://datasheets.raspberrypi.com/camera/raspberry-pi-camera-guide.pdf" TargetMode="External" /><Relationship Id="rIdHyperlink128" Type="http://schemas.openxmlformats.org/officeDocument/2006/relationships/hyperlink" Target="https://www.emva.org/wp-content/uploads/EMVA1288-3.0.pdf" TargetMode="External" /><Relationship Id="rIdHyperlink129" Type="http://schemas.openxmlformats.org/officeDocument/2006/relationships/hyperlink" Target="https://www.emva.org/wp-content/uploads/EMVA1288-3.0.pdf" TargetMode="External" /><Relationship Id="rIdHyperlink130"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31" Type="http://schemas.openxmlformats.org/officeDocument/2006/relationships/hyperlink" Target="https://datasheets.raspberrypi.com/camera/raspberry-pi-camera-guide.pdf" TargetMode="External" /><Relationship Id="rIdHyperlink132" Type="http://schemas.openxmlformats.org/officeDocument/2006/relationships/hyperlink" Target="https://datasheets.raspberrypi.com/camera/raspberry-pi-camera-guide.pdf" TargetMode="External" /><Relationship Id="rIdHyperlink133" Type="http://schemas.openxmlformats.org/officeDocument/2006/relationships/hyperlink" Target="https://docs.opencv.org/4.x/dc/d25/group__quality.html" TargetMode="External" /><Relationship Id="rIdHyperlink134" Type="http://schemas.openxmlformats.org/officeDocument/2006/relationships/hyperlink" Target="https://docs.pytest.org/en/stable/how-to/parametrize.html" TargetMode="External" /><Relationship Id="rIdHyperlink135" Type="http://schemas.openxmlformats.org/officeDocument/2006/relationships/hyperlink" Target="https://www.emva.org/wp-content/uploads/EMVA1288-3.0.pdf" TargetMode="External" /><Relationship Id="rIdHyperlink136" Type="http://schemas.openxmlformats.org/officeDocument/2006/relationships/hyperlink" Target="https://datasheets.raspberrypi.com/camera/raspberry-pi-camera-guide.pdf" TargetMode="External" /><Relationship Id="rIdHyperlink137" Type="http://schemas.openxmlformats.org/officeDocument/2006/relationships/hyperlink" Target="https://datasheets.raspberrypi.com/camera/raspberry-pi-camera-guide.pdf" TargetMode="External" /><Relationship Id="rIdHyperlink138" Type="http://schemas.openxmlformats.org/officeDocument/2006/relationships/hyperlink" Target="https://datasheets.raspberrypi.com/camera/raspberry-pi-camera-guide.pdf" TargetMode="External" /><Relationship Id="rIdHyperlink139" Type="http://schemas.openxmlformats.org/officeDocument/2006/relationships/hyperlink" Target="https://docs.kernel.org/userspace-api/media/v4l/metafmt-rkisp1.html#:~:text=The%20statistics%20collected%20are%20Exposure" TargetMode="External" /><Relationship Id="rIdHyperlink140" Type="http://schemas.openxmlformats.org/officeDocument/2006/relationships/hyperlink" Target="https://datasheets.raspberrypi.com/camera/raspberry-pi-camera-guide.pdf" TargetMode="External" /><Relationship Id="rIdHyperlink141"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42" Type="http://schemas.openxmlformats.org/officeDocument/2006/relationships/hyperlink" Target="https://docs.kernel.org/userspace-api/media/v4l/metafmt-rkisp1.html#:~:text=Chrominance%20pixel%20clipping%20range%20at%20output" TargetMode="External" /><Relationship Id="rIdHyperlink143" Type="http://schemas.openxmlformats.org/officeDocument/2006/relationships/hyperlink" Target="https://docs.kernel.org/admin-guide/media/mali-c55.html#:~:text=Tap%20points%20within%20the%20ISP%20allow%20users%20to%20divert%20data" TargetMode="External" /><Relationship Id="rIdHyperlink144" Type="http://schemas.openxmlformats.org/officeDocument/2006/relationships/hyperlink" Target="https://datasheets.raspberrypi.com/camera/raspberry-pi-camera-guide.pdf" TargetMode="External" /><Relationship Id="rIdHyperlink145" Type="http://schemas.openxmlformats.org/officeDocument/2006/relationships/hyperlink" Target="https://datasheets.raspberrypi.com/camera/raspberry-pi-camera-guide.pdf" TargetMode="External" /><Relationship Id="rIdHyperlink146"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47" Type="http://schemas.openxmlformats.org/officeDocument/2006/relationships/hyperlink" Target="https://github.com/colour-science/colour-demosaicing/blob/7bff324983fb77b41444fda3bf922e354d386d1c/colour_demosaicing/bayer/demosaicing/menon2007.py#L56-L387" TargetMode="External" /><Relationship Id="rIdHyperlink148"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49" Type="http://schemas.openxmlformats.org/officeDocument/2006/relationships/hyperlink" Target="https://numpy.org/doc/stable/reference/generated/numpy.save.html" TargetMode="External" /><Relationship Id="rIdHyperlink150" Type="http://schemas.openxmlformats.org/officeDocument/2006/relationships/hyperlink" Target="https://docs.opencv.org/4.x/d4/da8/group__imgcodecs.html" TargetMode="External" /><Relationship Id="rIdHyperlink151" Type="http://schemas.openxmlformats.org/officeDocument/2006/relationships/hyperlink" Target="https://datasheets.raspberrypi.com/camera/raspberry-pi-camera-guide.pdf" TargetMode="External" /><Relationship Id="rIdHyperlink152" Type="http://schemas.openxmlformats.org/officeDocument/2006/relationships/hyperlink" Target="https://docs.kernel.org/userspace-api/media/v4l/metafmt-rkisp1.html#:~:text=Configuration%20for%20the%20AWB%20statistics" TargetMode="External" /><Relationship Id="rIdHyperlink153" Type="http://schemas.openxmlformats.org/officeDocument/2006/relationships/hyperlink" Target="https://github.com/cruxopen/openISP/blob/d4947e1aa5f4af83c3640131dbca8a675b613ec6/model/awb.py#L4-L63" TargetMode="External" /><Relationship Id="rIdHyperlink154" Type="http://schemas.openxmlformats.org/officeDocument/2006/relationships/hyperlink" Target="https://github.com/cruxopen/openISP/blob/d4947e1aa5f4af83c3640131dbca8a675b613ec6/isp_pipeline.py#L263-L270" TargetMode="External" /><Relationship Id="rIdHyperlink155" Type="http://schemas.openxmlformats.org/officeDocument/2006/relationships/hyperlink" Target="https://docs.kernel.org/userspace-api/media/v4l/metafmt-rkisp1.html#:~:text=Configuration%20used%20by%20Gamma%20Out%20correction" TargetMode="External" /><Relationship Id="rIdHyperlink156" Type="http://schemas.openxmlformats.org/officeDocument/2006/relationships/hyperlink" Target="https://github.com/cruxopen/openISP/blob/d4947e1aa5f4af83c3640131dbca8a675b613ec6/model/hsc.py#L31-L34" TargetMode="External" /><Relationship Id="rIdHyperlink157" Type="http://schemas.openxmlformats.org/officeDocument/2006/relationships/hyperlink" Target="https://docs.kernel.org/userspace-api/media/v4l/metafmt-rkisp1.html#:~:text=Chrominance%20pixel%20clipping%20range%20at%20output" TargetMode="External" /><Relationship Id="rIdHyperlink158" Type="http://schemas.openxmlformats.org/officeDocument/2006/relationships/hyperlink" Target="https://github.com/cruxopen/openISP/blob/d4947e1aa5f4af83c3640131dbca8a675b613ec6/model/cnf.py#L154-L164" TargetMode="External" /><Relationship Id="rIdHyperlink159" Type="http://schemas.openxmlformats.org/officeDocument/2006/relationships/hyperlink" Target="https://github.com/cruxopen/openISP/blob/d4947e1aa5f4af83c3640131dbca8a675b613ec6/model/cfa.py#L94-L103" TargetMode="External" /><Relationship Id="rIdHyperlink160" Type="http://schemas.openxmlformats.org/officeDocument/2006/relationships/hyperlink" Target="https://github.com/colour-science/colour-demosaicing/blob/7bff324983fb77b41444fda3bf922e354d386d1c/colour_demosaicing/bayer/demosaicing/menon2007.py#L56-L69" TargetMode="External" /><Relationship Id="rIdHyperlink161" Type="http://schemas.openxmlformats.org/officeDocument/2006/relationships/hyperlink" Target="https://github.com/cruxopen/openISP/blob/d4947e1aa5f4af83c3640131dbca8a675b613ec6/model/cfa.py#L64-L103" TargetMode="External" /><Relationship Id="rIdHyperlink162" Type="http://schemas.openxmlformats.org/officeDocument/2006/relationships/hyperlink" Target="https://docs.pytest.org/en/stable/how-to/parametrize.html" TargetMode="External" /><Relationship Id="rIdHyperlink163" Type="http://schemas.openxmlformats.org/officeDocument/2006/relationships/hyperlink" Target="https://numpy.org/doc/stable/reference/generated/numpy.testing.assert_allclose.html" TargetMode="External" /><Relationship Id="rIdHyperlink164" Type="http://schemas.openxmlformats.org/officeDocument/2006/relationships/hyperlink" Target="https://www.sony-semicon.com/en/technology/security/index.html#:~:text=DOL%20HDR" TargetMode="External" /><Relationship Id="rIdHyperlink165" Type="http://schemas.openxmlformats.org/officeDocument/2006/relationships/hyperlink" Target="https://www.onsemi.com/download/white-papers/pdf/tnd6449-d.pdf" TargetMode="External" /><Relationship Id="rIdHyperlink166"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67" Type="http://schemas.openxmlformats.org/officeDocument/2006/relationships/hyperlink" Target="https://www.sony-semicon.com/en/technology/security/index.html" TargetMode="External" /><Relationship Id="rIdHyperlink168" Type="http://schemas.openxmlformats.org/officeDocument/2006/relationships/hyperlink" Target="https://datasheets.raspberrypi.com/camera/raspberry-pi-camera-guide.pdf" TargetMode="External" /><Relationship Id="rIdHyperlink169" Type="http://schemas.openxmlformats.org/officeDocument/2006/relationships/hyperlink" Target="https://www.onsemi.com/download/white-papers/pdf/tnd6449-d.pdf" TargetMode="External" /><Relationship Id="rIdHyperlink170" Type="http://schemas.openxmlformats.org/officeDocument/2006/relationships/hyperlink" Target="https://www.onsemi.com/download/white-papers/pdf/tnd6449-d.pdf" TargetMode="External" /><Relationship Id="rIdHyperlink171" Type="http://schemas.openxmlformats.org/officeDocument/2006/relationships/hyperlink" Target="https://people.engr.tamu.edu/nimak/Data/SIGASIA12_HDR_PatchBasedReconstruction.pdf" TargetMode="External" /><Relationship Id="rIdHyperlink17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73" Type="http://schemas.openxmlformats.org/officeDocument/2006/relationships/hyperlink" Target="https://docs.opencv.org/4.x/d8/d01/group__imgproc__color__conversions.html" TargetMode="External" /><Relationship Id="rIdHyperlink174" Type="http://schemas.openxmlformats.org/officeDocument/2006/relationships/hyperlink" Target="https://www.sony-semicon.com/en/technology/mobile/quad-bayer-coding.html" TargetMode="External" /><Relationship Id="rIdHyperlink175"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76" Type="http://schemas.openxmlformats.org/officeDocument/2006/relationships/hyperlink" Target="https://www.mdpi.com/1424-8220/22/8/2981" TargetMode="External" /><Relationship Id="rIdHyperlink177"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178" Type="http://schemas.openxmlformats.org/officeDocument/2006/relationships/hyperlink" Target="https://www.onsemi.com/download/white-papers/pdf/tnd6449-d.pdf" TargetMode="External" /><Relationship Id="rIdHyperlink179" Type="http://schemas.openxmlformats.org/officeDocument/2006/relationships/hyperlink" Target="https://www.imaging.org/IST/IST/Standards/Digital_Camera_Noise_Tools.aspx" TargetMode="External" /><Relationship Id="rIdHyperlink180" Type="http://schemas.openxmlformats.org/officeDocument/2006/relationships/hyperlink" Target="https://www.onsemi.com/download/white-papers/pdf/tnd6449-d.pdf" TargetMode="External" /><Relationship Id="rIdHyperlink181" Type="http://schemas.openxmlformats.org/officeDocument/2006/relationships/hyperlink" Target="https://datasheets.raspberrypi.com/camera/raspberry-pi-camera-guide.pdf" TargetMode="External" /><Relationship Id="rIdHyperlink182" Type="http://schemas.openxmlformats.org/officeDocument/2006/relationships/hyperlink" Target="https://numpy.org/doc/stable/user/basics.types.html" TargetMode="External" /><Relationship Id="rIdHyperlink183" Type="http://schemas.openxmlformats.org/officeDocument/2006/relationships/hyperlink" Target="https://numpy.org/doc/stable/reference/generated/numpy.testing.assert_allclose.html" TargetMode="External" /><Relationship Id="rIdHyperlink184" Type="http://schemas.openxmlformats.org/officeDocument/2006/relationships/hyperlink" Target="https://experts.mcmaster.ca/scholarly-works/3628757" TargetMode="External" /><Relationship Id="rIdHyperlink185" Type="http://schemas.openxmlformats.org/officeDocument/2006/relationships/hyperlink" Target="https://numpy.org/doc/stable/user/basics.types.html" TargetMode="External" /><Relationship Id="rIdHyperlink186" Type="http://schemas.openxmlformats.org/officeDocument/2006/relationships/hyperlink" Target="https://docs.python.org/3/library/profile.html#:~:text=cProfile%20and%20profile%20provide" TargetMode="External" /><Relationship Id="rIdHyperlink187" Type="http://schemas.openxmlformats.org/officeDocument/2006/relationships/hyperlink" Target="https://docs.pytest.org/en/stable/how-to/parametrize.html" TargetMode="External" /><Relationship Id="rIdHyperlink188" Type="http://schemas.openxmlformats.org/officeDocument/2006/relationships/hyperlink" Target="https://docs.python.org/3/library/tracemalloc.html" TargetMode="External" /><Relationship Id="rIdHyperlink189" Type="http://schemas.openxmlformats.org/officeDocument/2006/relationships/hyperlink" Target="https://numpy.org/doc/stable/user/basics.broadcasting.html" TargetMode="External" /><Relationship Id="rIdHyperlink190" Type="http://schemas.openxmlformats.org/officeDocument/2006/relationships/hyperlink" Target="https://numpy.org/doc/stable/user/basics.indexing.html#basic-indexing" TargetMode="External" /><Relationship Id="rIdHyperlink191" Type="http://schemas.openxmlformats.org/officeDocument/2006/relationships/hyperlink" Target="https://docs.opencv.org/4.x/dc/da3/tutorial_copyMakeBorder.html" TargetMode="External" /><Relationship Id="rIdHyperlink192" Type="http://schemas.openxmlformats.org/officeDocument/2006/relationships/hyperlink" Target="https://numpy.org/doc/stable/user/basics.broadcasting.html" TargetMode="External" /><Relationship Id="rIdHyperlink193" Type="http://schemas.openxmlformats.org/officeDocument/2006/relationships/hyperlink" Target="https://numpy.org/doc/stable/reference/generated/numpy.testing.assert_allclose.html" TargetMode="External" /><Relationship Id="rIdHyperlink194" Type="http://schemas.openxmlformats.org/officeDocument/2006/relationships/hyperlink" Target="https://spdx.github.io/spdx-spec/v2.3/package-information/#715-declared-license-field" TargetMode="External" /><Relationship Id="rIdHyperlink195" Type="http://schemas.openxmlformats.org/officeDocument/2006/relationships/hyperlink" Target="https://github.com/cruxopen/openISP/blob/d4947e1aa5f4af83c3640131dbca8a675b613ec6/LICENSE" TargetMode="External" /><Relationship Id="rIdHyperlink196" Type="http://schemas.openxmlformats.org/officeDocument/2006/relationships/hyperlink" Target="https://www.wipo.int/edocs/pubdocs/en/wipo_pub_1062.pdf" TargetMode="External" /><Relationship Id="rIdHyperlink197" Type="http://schemas.openxmlformats.org/officeDocument/2006/relationships/hyperlink" Target="https://spdx.github.io/spdx-spec/v2.3/package-information/" TargetMode="External" /><Relationship Id="rIdHyperlink198" Type="http://schemas.openxmlformats.org/officeDocument/2006/relationships/hyperlink" Target="https://www.iso.org/standard/88626.html" TargetMode="External" /><Relationship Id="rIdHyperlink199" Type="http://schemas.openxmlformats.org/officeDocument/2006/relationships/hyperlink" Target="https://library.imaging.org/ei/articles/32/9/art00012" TargetMode="External" /><Relationship Id="rIdHyperlink200" Type="http://schemas.openxmlformats.org/officeDocument/2006/relationships/hyperlink" Target="https://hajim.rochester.edu/ece/sites/gsharma/ciede2000/" TargetMode="External" /><Relationship Id="rIdHyperlink201" Type="http://schemas.openxmlformats.org/officeDocument/2006/relationships/hyperlink" Target="https://datasheets.raspberrypi.com/camera/raspberry-pi-camera-guide.pdf" TargetMode="External" /><Relationship Id="rIdHyperlink202" Type="http://schemas.openxmlformats.org/officeDocument/2006/relationships/hyperlink" Target="https://www.iso.org/standard/82233.html" TargetMode="External" /><Relationship Id="rIdHyperlink203" Type="http://schemas.openxmlformats.org/officeDocument/2006/relationships/hyperlink" Target="https://www.imaging.org/IST/IST/Standards/Digital_Camera_Noise_Tools.aspx" TargetMode="External" /><Relationship Id="rIdHyperlink204" Type="http://schemas.openxmlformats.org/officeDocument/2006/relationships/hyperlink" Target="https://www.imatest.com/imaging/iso-14524/" TargetMode="External" /><Relationship Id="rIdHyperlink205" Type="http://schemas.openxmlformats.org/officeDocument/2006/relationships/hyperlink" Target="https://www.iso.org/standard/82233.html" TargetMode="External" /><Relationship Id="rIdHyperlink206" Type="http://schemas.openxmlformats.org/officeDocument/2006/relationships/hyperlink" Target="https://www.emva.org/wp-content/uploads/EMVA1288Linear_4.0Release.pdf" TargetMode="External" /><Relationship Id="rIdHyperlink207" Type="http://schemas.openxmlformats.org/officeDocument/2006/relationships/hyperlink" Target="https://datasheets.raspberrypi.com/camera/raspberry-pi-camera-guide.pdf" TargetMode="External" /><Relationship Id="rIdHyperlink208" Type="http://schemas.openxmlformats.org/officeDocument/2006/relationships/hyperlink" Target="https://library.imaging.org/ei/articles/28/18/art00013#:~:text=three%20different%20measurements" TargetMode="External" /><Relationship Id="rIdHyperlink209" Type="http://schemas.openxmlformats.org/officeDocument/2006/relationships/hyperlink" Target="https://www.emva.org/wp-content/uploads/EMVA1288Linear_4.0Release.pdf" TargetMode="External" /><Relationship Id="rIdHyperlink210" Type="http://schemas.openxmlformats.org/officeDocument/2006/relationships/hyperlink" Target="https://www.ipol.im/pub/art/2024/530/" TargetMode="External" /><Relationship Id="rIdHyperlink211" Type="http://schemas.openxmlformats.org/officeDocument/2006/relationships/hyperlink" Target="https://docs.opencv.org/4.x/dc/d25/group__quality.html" TargetMode="External" /><Relationship Id="rIdHyperlink212" Type="http://schemas.openxmlformats.org/officeDocument/2006/relationships/hyperlink" Target="https://www.emva.org/wp-content/uploads/EMVA1288Linear_4.0Release.pdf" TargetMode="External" /><Relationship Id="rIdHyperlink213"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214" Type="http://schemas.openxmlformats.org/officeDocument/2006/relationships/hyperlink" Target="https://www.sony-semicon.com/en/technology/camera/index.html" TargetMode="External" /><Relationship Id="rIdHyperlink215" Type="http://schemas.openxmlformats.org/officeDocument/2006/relationships/hyperlink" Target="https://datasheets.raspberrypi.com/camera/raspberry-pi-camera-guide.pdf" TargetMode="External" /><Relationship Id="rIdHyperlink216" Type="http://schemas.openxmlformats.org/officeDocument/2006/relationships/hyperlink" Target="https://docs.opencv.org/4.x/d5/d69/tutorial_py_non_local_means.html#:~:text=cv.fastNlMeansDenoisingColored" TargetMode="External" /><Relationship Id="rIdHyperlink217" Type="http://schemas.openxmlformats.org/officeDocument/2006/relationships/hyperlink" Target="https://datasheets.raspberrypi.com/camera/raspberry-pi-camera-guide.pdf" TargetMode="External" /><Relationship Id="rIdHyperlink218" Type="http://schemas.openxmlformats.org/officeDocument/2006/relationships/hyperlink" Target="https://datasheets.raspberrypi.com/camera/raspberry-pi-camera-guide.pdf" TargetMode="External" /><Relationship Id="rIdHyperlink219" Type="http://schemas.openxmlformats.org/officeDocument/2006/relationships/hyperlink" Target="https://source.android.com/docs/core/camera/camera3" TargetMode="External" /><Relationship Id="rIdHyperlink220" Type="http://schemas.openxmlformats.org/officeDocument/2006/relationships/hyperlink" Target="https://source.android.com/docs/core/camera/camera3#:~:text=A%20request%20contains%20all%20desired%20capture%20settings" TargetMode="External" /><Relationship Id="rIdHyperlink221" Type="http://schemas.openxmlformats.org/officeDocument/2006/relationships/hyperlink" Target="https://docs.libcamera.org/master/api-html/classlibcamera_1_1Request.html" TargetMode="External" /><Relationship Id="rIdHyperlink222"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223" Type="http://schemas.openxmlformats.org/officeDocument/2006/relationships/hyperlink" Target="https://helpx.adobe.com/camera-raw/digital-negative.html" TargetMode="External" /><Relationship Id="rIdHyperlink224" Type="http://schemas.openxmlformats.org/officeDocument/2006/relationships/hyperlink" Target="https://www.cipa.jp/e/std/std-sec.html" TargetMode="External" /><Relationship Id="rIdHyperlink225"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226" Type="http://schemas.openxmlformats.org/officeDocument/2006/relationships/hyperlink" Target="https://docs.libcamera.org/master/api-html/classlibcamera_1_1Request.html" TargetMode="External" /><Relationship Id="rIdHyperlink227" Type="http://schemas.openxmlformats.org/officeDocument/2006/relationships/hyperlink" Target="https://source.android.com/docs/core/camera/camera3" TargetMode="External" /></Relationships>
</file>

<file path=xl/worksheets/_rels/sheet3.xml.rels><?xml version='1.0' encoding='utf-8'?>
<Relationships xmlns="http://schemas.openxmlformats.org/package/2006/relationships"><Relationship Id="rId121" Type="http://schemas.openxmlformats.org/officeDocument/2006/relationships/table" Target="../tables/table2.xml" />
<Relationship Id="rIdHyperlink1" Type="http://schemas.openxmlformats.org/officeDocument/2006/relationships/hyperlink" Target="https://datasheets.raspberrypi.com/camera/raspberry-pi-camera-guide.pdf" TargetMode="External" /><Relationship Id="rIdHyperlink2" Type="http://schemas.openxmlformats.org/officeDocument/2006/relationships/hyperlink" Target="https://datasheets.raspberrypi.com/camera/raspberry-pi-camera-guide.pdf" TargetMode="External" /><Relationship Id="rIdHyperlink3" Type="http://schemas.openxmlformats.org/officeDocument/2006/relationships/hyperlink" Target="https://helpx.adobe.com/content/dam/help/en/camera-raw/digital-negative/jcr_content/root/content/flex/items/position/position-par/download_section_733958301/download-1/DNG_Spec_1_7_1_0.pdf" TargetMode="External" /><Relationship Id="rIdHyperlink4" Type="http://schemas.openxmlformats.org/officeDocument/2006/relationships/hyperlink" Target="https://helpx.adobe.com/camera-raw/digital-negative.html" TargetMode="External" /><Relationship Id="rIdHyperlink5" Type="http://schemas.openxmlformats.org/officeDocument/2006/relationships/hyperlink" Target="https://docs.kernel.org/userspace-api/media/v4l/metafmt-rkisp1.html" TargetMode="External" /><Relationship Id="rIdHyperlink6" Type="http://schemas.openxmlformats.org/officeDocument/2006/relationships/hyperlink" Target="https://docs.kernel.org/userspace-api/media/v4l/metafmt-rkisp1.html" TargetMode="External" /><Relationship Id="rIdHyperlink7" Type="http://schemas.openxmlformats.org/officeDocument/2006/relationships/hyperlink" Target="https://docs.kernel.org/admin-guide/media/mali-c55.html" TargetMode="External" /><Relationship Id="rIdHyperlink8" Type="http://schemas.openxmlformats.org/officeDocument/2006/relationships/hyperlink" Target="https://docs.kernel.org/admin-guide/media/mali-c55.html" TargetMode="External" /><Relationship Id="rIdHyperlink9" Type="http://schemas.openxmlformats.org/officeDocument/2006/relationships/hyperlink" Target="https://docs.opencv.org/4.x/d2/df0/tutorial_py_hdr.html" TargetMode="External" /><Relationship Id="rIdHyperlink10" Type="http://schemas.openxmlformats.org/officeDocument/2006/relationships/hyperlink" Target="https://github.com/opencv/opencv/blob/4.x/LICENSE" TargetMode="External" /><Relationship Id="rIdHyperlink11" Type="http://schemas.openxmlformats.org/officeDocument/2006/relationships/hyperlink" Target="https://people.engr.tamu.edu/nimak/Data/SIGASIA12_HDR_PatchBasedReconstruction.pdf" TargetMode="External" /><Relationship Id="rIdHyperlink12" Type="http://schemas.openxmlformats.org/officeDocument/2006/relationships/hyperlink" Target="https://people.engr.tamu.edu/nimak/Data/SIGASIA12_HDR_PatchBasedReconstruction.pdf" TargetMode="External" /><Relationship Id="rIdHyperlink13" Type="http://schemas.openxmlformats.org/officeDocument/2006/relationships/hyperlink" Target="https://web.tecgraf.puc-rio.br/~scuri/inf1378/pub/reinhard.pdf" TargetMode="External" /><Relationship Id="rIdHyperlink14" Type="http://schemas.openxmlformats.org/officeDocument/2006/relationships/hyperlink" Target="https://web.tecgraf.puc-rio.br/~scuri/inf1378/pub/reinhard.pdf" TargetMode="External" /><Relationship Id="rIdHyperlink15" Type="http://schemas.openxmlformats.org/officeDocument/2006/relationships/hyperlink" Target="https://www.itu.int/dms_pubrec/itu-r/rec/bt/R-REC-BT.2100-3-202502-I%21%21PDF-E.pdf" TargetMode="External" /><Relationship Id="rIdHyperlink16" Type="http://schemas.openxmlformats.org/officeDocument/2006/relationships/hyperlink" Target="https://www.itu.int/dms_pubrec/itu-r/rec/bt/R-REC-BT.2100-3-202502-I%21%21PDF-E.pdf" TargetMode="External" /><Relationship Id="rIdHyperlink17" Type="http://schemas.openxmlformats.org/officeDocument/2006/relationships/hyperlink" Target="https://docs.opencv.org/4.x/d5/d69/tutorial_py_non_local_means.html" TargetMode="External" /><Relationship Id="rIdHyperlink18" Type="http://schemas.openxmlformats.org/officeDocument/2006/relationships/hyperlink" Target="https://github.com/opencv/opencv/blob/4.x/LICENSE" TargetMode="External" /><Relationship Id="rIdHyperlink19" Type="http://schemas.openxmlformats.org/officeDocument/2006/relationships/hyperlink" Target="https://docs.opencv.org/4.x/d4/dee/tutorial_optical_flow.html" TargetMode="External" /><Relationship Id="rIdHyperlink20" Type="http://schemas.openxmlformats.org/officeDocument/2006/relationships/hyperlink" Target="https://github.com/opencv/opencv/blob/4.x/LICENSE" TargetMode="External" /><Relationship Id="rIdHyperlink21" Type="http://schemas.openxmlformats.org/officeDocument/2006/relationships/hyperlink" Target="https://github.com/colour-science/colour-demosaicing/blob/7bff324983fb77b41444fda3bf922e354d386d1c/colour_demosaicing/bayer/demosaicing/menon2007.py#L56-L387" TargetMode="External" /><Relationship Id="rIdHyperlink22" Type="http://schemas.openxmlformats.org/officeDocument/2006/relationships/hyperlink" Target="https://github.com/colour-science/colour-demosaicing/blob/7bff324983fb77b41444fda3bf922e354d386d1c/LICENSE" TargetMode="External" /><Relationship Id="rIdHyperlink23" Type="http://schemas.openxmlformats.org/officeDocument/2006/relationships/hyperlink" Target="https://www.microsoft.com/en-us/research/wp-content/uploads/2016/02/Demosaicing_ICASSP04.pdf" TargetMode="External" /><Relationship Id="rIdHyperlink24" Type="http://schemas.openxmlformats.org/officeDocument/2006/relationships/hyperlink" Target="https://www.microsoft.com/en-us/research/wp-content/uploads/2016/02/Demosaicing_ICASSP04.pdf" TargetMode="External" /><Relationship Id="rIdHyperlink25" Type="http://schemas.openxmlformats.org/officeDocument/2006/relationships/hyperlink" Target="https://docs.darktable.org/usermanual/4.0/en/module-reference/processing-modules/defringe/" TargetMode="External" /><Relationship Id="rIdHyperlink26" Type="http://schemas.openxmlformats.org/officeDocument/2006/relationships/hyperlink" Target="https://github.com/darktable-org/darktable/blob/master/LICENSE" TargetMode="External" /><Relationship Id="rIdHyperlink27" Type="http://schemas.openxmlformats.org/officeDocument/2006/relationships/hyperlink" Target="https://www.itu.int/dms_pub/itu-r/opb/rep/R-REP-BT.2407-2017-PDF-E.pdf" TargetMode="External" /><Relationship Id="rIdHyperlink28" Type="http://schemas.openxmlformats.org/officeDocument/2006/relationships/hyperlink" Target="https://www.itu.int/dms_pub/itu-r/opb/rep/R-REP-BT.2407-2017-PDF-E.pdf" TargetMode="External" /><Relationship Id="rIdHyperlink29" Type="http://schemas.openxmlformats.org/officeDocument/2006/relationships/hyperlink" Target="https://registry.color.org/rgb-registry/srgb" TargetMode="External" /><Relationship Id="rIdHyperlink30" Type="http://schemas.openxmlformats.org/officeDocument/2006/relationships/hyperlink" Target="https://registry.color.org/rgb-registry/srgb" TargetMode="External" /><Relationship Id="rIdHyperlink31" Type="http://schemas.openxmlformats.org/officeDocument/2006/relationships/hyperlink" Target="https://docs.opencv.org/4.x/d8/d01/group__imgproc__color__conversions.html" TargetMode="External" /><Relationship Id="rIdHyperlink32" Type="http://schemas.openxmlformats.org/officeDocument/2006/relationships/hyperlink" Target="https://github.com/opencv/opencv/blob/4.x/LICENSE" TargetMode="External" /><Relationship Id="rIdHyperlink33" Type="http://schemas.openxmlformats.org/officeDocument/2006/relationships/hyperlink" Target="https://docs.opencv.org/4.x/da/d54/group__imgproc__transform.html" TargetMode="External" /><Relationship Id="rIdHyperlink34" Type="http://schemas.openxmlformats.org/officeDocument/2006/relationships/hyperlink" Target="https://github.com/opencv/opencv/blob/4.x/LICENSE" TargetMode="External" /><Relationship Id="rIdHyperlink35" Type="http://schemas.openxmlformats.org/officeDocument/2006/relationships/hyperlink" Target="https://docs.opencv.org/4.x/dc/dbb/tutorial_py_calibration.html" TargetMode="External" /><Relationship Id="rIdHyperlink36" Type="http://schemas.openxmlformats.org/officeDocument/2006/relationships/hyperlink" Target="https://github.com/opencv/opencv/blob/4.x/LICENSE" TargetMode="External" /><Relationship Id="rIdHyperlink37" Type="http://schemas.openxmlformats.org/officeDocument/2006/relationships/hyperlink" Target="https://docs.opencv.org/4.x/db/d58/group__calib3d__fisheye.html" TargetMode="External" /><Relationship Id="rIdHyperlink38" Type="http://schemas.openxmlformats.org/officeDocument/2006/relationships/hyperlink" Target="https://github.com/opencv/opencv/blob/4.x/LICENSE" TargetMode="External" /><Relationship Id="rIdHyperlink39" Type="http://schemas.openxmlformats.org/officeDocument/2006/relationships/hyperlink" Target="https://graphics.stanford.edu/papers/stabilization/karpenko_gyro.pdf" TargetMode="External" /><Relationship Id="rIdHyperlink40" Type="http://schemas.openxmlformats.org/officeDocument/2006/relationships/hyperlink" Target="https://graphics.stanford.edu/papers/stabilization/karpenko_gyro.pdf" TargetMode="External" /><Relationship Id="rIdHyperlink41" Type="http://schemas.openxmlformats.org/officeDocument/2006/relationships/hyperlink" Target="https://www.emva.org/wp-content/uploads/EMVA1288-3.0.pdf" TargetMode="External" /><Relationship Id="rIdHyperlink42" Type="http://schemas.openxmlformats.org/officeDocument/2006/relationships/hyperlink" Target="https://www.emva.org/wp-content/uploads/EMVA1288-3.0.pdf" TargetMode="External" /><Relationship Id="rIdHyperlink43" Type="http://schemas.openxmlformats.org/officeDocument/2006/relationships/hyperlink" Target="https://docs.opencv.org/4.x/dc/d25/group__quality.html" TargetMode="External" /><Relationship Id="rIdHyperlink44" Type="http://schemas.openxmlformats.org/officeDocument/2006/relationships/hyperlink" Target="https://github.com/opencv/opencv/blob/4.x/LICENSE" TargetMode="External" /><Relationship Id="rIdHyperlink45" Type="http://schemas.openxmlformats.org/officeDocument/2006/relationships/hyperlink" Target="https://numpy.org/doc/stable/reference/generated/numpy.testing.assert_allclose.html" TargetMode="External" /><Relationship Id="rIdHyperlink46" Type="http://schemas.openxmlformats.org/officeDocument/2006/relationships/hyperlink" Target="https://github.com/numpy/numpy/blob/main/LICENSE.txt" TargetMode="External" /><Relationship Id="rIdHyperlink47" Type="http://schemas.openxmlformats.org/officeDocument/2006/relationships/hyperlink" Target="https://docs.pytest.org/en/stable/how-to/parametrize.html" TargetMode="External" /><Relationship Id="rIdHyperlink48" Type="http://schemas.openxmlformats.org/officeDocument/2006/relationships/hyperlink" Target="https://github.com/pytest-dev/pytest/blob/main/LICENSE" TargetMode="External" /><Relationship Id="rIdHyperlink49" Type="http://schemas.openxmlformats.org/officeDocument/2006/relationships/hyperlink" Target="https://github.com/cruxopen/openISP/blob/d4947e1aa5f4af83c3640131dbca8a675b613ec6/README.md" TargetMode="External" /><Relationship Id="rIdHyperlink50" Type="http://schemas.openxmlformats.org/officeDocument/2006/relationships/hyperlink" Target="https://github.com/cruxopen/openISP/blob/d4947e1aa5f4af83c3640131dbca8a675b613ec6/LICENSE" TargetMode="External" /><Relationship Id="rIdHyperlink51" Type="http://schemas.openxmlformats.org/officeDocument/2006/relationships/hyperlink" Target="https://github.com/cruxopen/openISP/blob/d4947e1aa5f4af83c3640131dbca8a675b613ec6/isp_pipeline.py" TargetMode="External" /><Relationship Id="rIdHyperlink52" Type="http://schemas.openxmlformats.org/officeDocument/2006/relationships/hyperlink" Target="https://github.com/cruxopen/openISP/blob/d4947e1aa5f4af83c3640131dbca8a675b613ec6/LICENSE" TargetMode="External" /><Relationship Id="rIdHyperlink53" Type="http://schemas.openxmlformats.org/officeDocument/2006/relationships/hyperlink" Target="https://github.com/cruxopen/openISP/blob/d4947e1aa5f4af83c3640131dbca8a675b613ec6/model/awb.py" TargetMode="External" /><Relationship Id="rIdHyperlink54" Type="http://schemas.openxmlformats.org/officeDocument/2006/relationships/hyperlink" Target="https://github.com/cruxopen/openISP/blob/d4947e1aa5f4af83c3640131dbca8a675b613ec6/LICENSE" TargetMode="External" /><Relationship Id="rIdHyperlink55" Type="http://schemas.openxmlformats.org/officeDocument/2006/relationships/hyperlink" Target="https://github.com/cruxopen/openISP/blob/d4947e1aa5f4af83c3640131dbca8a675b613ec6/model/hsc.py" TargetMode="External" /><Relationship Id="rIdHyperlink56" Type="http://schemas.openxmlformats.org/officeDocument/2006/relationships/hyperlink" Target="https://github.com/cruxopen/openISP/blob/d4947e1aa5f4af83c3640131dbca8a675b613ec6/LICENSE" TargetMode="External" /><Relationship Id="rIdHyperlink57" Type="http://schemas.openxmlformats.org/officeDocument/2006/relationships/hyperlink" Target="https://github.com/cruxopen/openISP/blob/d4947e1aa5f4af83c3640131dbca8a675b613ec6/model/cnf.py" TargetMode="External" /><Relationship Id="rIdHyperlink58" Type="http://schemas.openxmlformats.org/officeDocument/2006/relationships/hyperlink" Target="https://github.com/cruxopen/openISP/blob/d4947e1aa5f4af83c3640131dbca8a675b613ec6/LICENSE" TargetMode="External" /><Relationship Id="rIdHyperlink59" Type="http://schemas.openxmlformats.org/officeDocument/2006/relationships/hyperlink" Target="https://github.com/cruxopen/openISP/blob/d4947e1aa5f4af83c3640131dbca8a675b613ec6/model/cfa.py" TargetMode="External" /><Relationship Id="rIdHyperlink60" Type="http://schemas.openxmlformats.org/officeDocument/2006/relationships/hyperlink" Target="https://github.com/cruxopen/openISP/blob/d4947e1aa5f4af83c3640131dbca8a675b613ec6/LICENSE" TargetMode="External" /><Relationship Id="rIdHyperlink61" Type="http://schemas.openxmlformats.org/officeDocument/2006/relationships/hyperlink" Target="https://numpy.org/doc/stable/reference/generated/numpy.save.html" TargetMode="External" /><Relationship Id="rIdHyperlink62" Type="http://schemas.openxmlformats.org/officeDocument/2006/relationships/hyperlink" Target="https://github.com/numpy/numpy/blob/main/LICENSE.txt" TargetMode="External" /><Relationship Id="rIdHyperlink63" Type="http://schemas.openxmlformats.org/officeDocument/2006/relationships/hyperlink" Target="https://numpy.org/doc/stable/user/basics.indexing.html#basic-indexing" TargetMode="External" /><Relationship Id="rIdHyperlink64" Type="http://schemas.openxmlformats.org/officeDocument/2006/relationships/hyperlink" Target="https://github.com/numpy/numpy/blob/main/LICENSE.txt" TargetMode="External" /><Relationship Id="rIdHyperlink65" Type="http://schemas.openxmlformats.org/officeDocument/2006/relationships/hyperlink" Target="https://docs.opencv.org/4.x/d2/de8/group__core__array.html" TargetMode="External" /><Relationship Id="rIdHyperlink66" Type="http://schemas.openxmlformats.org/officeDocument/2006/relationships/hyperlink" Target="https://github.com/opencv/opencv/blob/4.x/LICENSE" TargetMode="External" /><Relationship Id="rIdHyperlink67" Type="http://schemas.openxmlformats.org/officeDocument/2006/relationships/hyperlink" Target="https://docs.opencv.org/4.x/d4/da8/group__imgcodecs.html" TargetMode="External" /><Relationship Id="rIdHyperlink68" Type="http://schemas.openxmlformats.org/officeDocument/2006/relationships/hyperlink" Target="https://github.com/opencv/opencv/blob/4.x/LICENSE" TargetMode="External" /><Relationship Id="rIdHyperlink69" Type="http://schemas.openxmlformats.org/officeDocument/2006/relationships/hyperlink" Target="https://www.sony-semicon.com/en/technology/security/index.html" TargetMode="External" /><Relationship Id="rIdHyperlink70" Type="http://schemas.openxmlformats.org/officeDocument/2006/relationships/hyperlink" Target="https://www.sony-semicon.com/en/technology/security/index.html" TargetMode="External" /><Relationship Id="rIdHyperlink71" Type="http://schemas.openxmlformats.org/officeDocument/2006/relationships/hyperlink" Target="https://www.onsemi.com/download/white-papers/pdf/tnd6449-d.pdf" TargetMode="External" /><Relationship Id="rIdHyperlink72" Type="http://schemas.openxmlformats.org/officeDocument/2006/relationships/hyperlink" Target="https://www.onsemi.com/download/white-papers/pdf/tnd6449-d.pdf" TargetMode="External" /><Relationship Id="rIdHyperlink73" Type="http://schemas.openxmlformats.org/officeDocument/2006/relationships/hyperlink" Target="https://www.sony-semicon.com/en/technology/mobile/quad-bayer-coding.html" TargetMode="External" /><Relationship Id="rIdHyperlink74" Type="http://schemas.openxmlformats.org/officeDocument/2006/relationships/hyperlink" Target="https://www.sony-semicon.com/en/technology/mobile/quad-bayer-coding.html" TargetMode="External" /><Relationship Id="rIdHyperlink75" Type="http://schemas.openxmlformats.org/officeDocument/2006/relationships/hyperlink" Target="https://www.mdpi.com/1424-8220/22/8/2981" TargetMode="External" /><Relationship Id="rIdHyperlink76" Type="http://schemas.openxmlformats.org/officeDocument/2006/relationships/hyperlink" Target="https://creativecommons.org/licenses/by/4.0/" TargetMode="External" /><Relationship Id="rIdHyperlink77" Type="http://schemas.openxmlformats.org/officeDocument/2006/relationships/hyperlink" Target="https://numpy.org/doc/stable/user/basics.types.html" TargetMode="External" /><Relationship Id="rIdHyperlink78" Type="http://schemas.openxmlformats.org/officeDocument/2006/relationships/hyperlink" Target="https://github.com/numpy/numpy/blob/main/LICENSE.txt" TargetMode="External" /><Relationship Id="rIdHyperlink79" Type="http://schemas.openxmlformats.org/officeDocument/2006/relationships/hyperlink" Target="https://experts.mcmaster.ca/scholarly-works/3628757" TargetMode="External" /><Relationship Id="rIdHyperlink80" Type="http://schemas.openxmlformats.org/officeDocument/2006/relationships/hyperlink" Target="https://experts.mcmaster.ca/scholarly-works/3628757" TargetMode="External" /><Relationship Id="rIdHyperlink81" Type="http://schemas.openxmlformats.org/officeDocument/2006/relationships/hyperlink" Target="https://docs.python.org/3/library/profile.html" TargetMode="External" /><Relationship Id="rIdHyperlink82" Type="http://schemas.openxmlformats.org/officeDocument/2006/relationships/hyperlink" Target="https://docs.python.org/3/license.html" TargetMode="External" /><Relationship Id="rIdHyperlink83" Type="http://schemas.openxmlformats.org/officeDocument/2006/relationships/hyperlink" Target="https://docs.python.org/3/library/tracemalloc.html" TargetMode="External" /><Relationship Id="rIdHyperlink84" Type="http://schemas.openxmlformats.org/officeDocument/2006/relationships/hyperlink" Target="https://docs.python.org/3/license.html" TargetMode="External" /><Relationship Id="rIdHyperlink85" Type="http://schemas.openxmlformats.org/officeDocument/2006/relationships/hyperlink" Target="https://numpy.org/doc/stable/user/basics.broadcasting.html" TargetMode="External" /><Relationship Id="rIdHyperlink86" Type="http://schemas.openxmlformats.org/officeDocument/2006/relationships/hyperlink" Target="https://github.com/numpy/numpy/blob/main/LICENSE.txt" TargetMode="External" /><Relationship Id="rIdHyperlink87" Type="http://schemas.openxmlformats.org/officeDocument/2006/relationships/hyperlink" Target="https://docs.opencv.org/4.x/dc/da3/tutorial_copyMakeBorder.html" TargetMode="External" /><Relationship Id="rIdHyperlink88" Type="http://schemas.openxmlformats.org/officeDocument/2006/relationships/hyperlink" Target="https://github.com/opencv/opencv/blob/4.x/LICENSE" TargetMode="External" /><Relationship Id="rIdHyperlink89" Type="http://schemas.openxmlformats.org/officeDocument/2006/relationships/hyperlink" Target="https://spdx.github.io/spdx-spec/v2.3/package-information/" TargetMode="External" /><Relationship Id="rIdHyperlink90" Type="http://schemas.openxmlformats.org/officeDocument/2006/relationships/hyperlink" Target="https://spdx.github.io/spdx-spec/v2.3/package-information/" TargetMode="External" /><Relationship Id="rIdHyperlink91" Type="http://schemas.openxmlformats.org/officeDocument/2006/relationships/hyperlink" Target="https://www.wipo.int/edocs/pubdocs/en/wipo_pub_1062.pdf" TargetMode="External" /><Relationship Id="rIdHyperlink92" Type="http://schemas.openxmlformats.org/officeDocument/2006/relationships/hyperlink" Target="https://creativecommons.org/licenses/by/3.0/igo/" TargetMode="External" /><Relationship Id="rIdHyperlink93" Type="http://schemas.openxmlformats.org/officeDocument/2006/relationships/hyperlink" Target="https://www.iso.org/standard/88626.html" TargetMode="External" /><Relationship Id="rIdHyperlink94" Type="http://schemas.openxmlformats.org/officeDocument/2006/relationships/hyperlink" Target="https://www.iso.org/standard/88626.html" TargetMode="External" /><Relationship Id="rIdHyperlink95" Type="http://schemas.openxmlformats.org/officeDocument/2006/relationships/hyperlink" Target="https://library.imaging.org/ei/articles/32/9/art00012" TargetMode="External" /><Relationship Id="rIdHyperlink96" Type="http://schemas.openxmlformats.org/officeDocument/2006/relationships/hyperlink" Target="https://library.imaging.org/ei/articles/32/9/art00012" TargetMode="External" /><Relationship Id="rIdHyperlink97" Type="http://schemas.openxmlformats.org/officeDocument/2006/relationships/hyperlink" Target="https://hajim.rochester.edu/ece/sites/gsharma/ciede2000/" TargetMode="External" /><Relationship Id="rIdHyperlink98" Type="http://schemas.openxmlformats.org/officeDocument/2006/relationships/hyperlink" Target="https://hajim.rochester.edu/ece/sites/gsharma/ciede2000/" TargetMode="External" /><Relationship Id="rIdHyperlink99" Type="http://schemas.openxmlformats.org/officeDocument/2006/relationships/hyperlink" Target="https://www.iso.org/standard/82233.html" TargetMode="External" /><Relationship Id="rIdHyperlink100" Type="http://schemas.openxmlformats.org/officeDocument/2006/relationships/hyperlink" Target="https://www.iso.org/standard/82233.html" TargetMode="External" /><Relationship Id="rIdHyperlink101" Type="http://schemas.openxmlformats.org/officeDocument/2006/relationships/hyperlink" Target="https://www.imaging.org/IST/IST/Standards/Digital_Camera_Noise_Tools.aspx" TargetMode="External" /><Relationship Id="rIdHyperlink102" Type="http://schemas.openxmlformats.org/officeDocument/2006/relationships/hyperlink" Target="https://www.imaging.org/IST/IST/Standards/Digital_Camera_Noise_Tools.aspx" TargetMode="External" /><Relationship Id="rIdHyperlink103" Type="http://schemas.openxmlformats.org/officeDocument/2006/relationships/hyperlink" Target="https://www.imatest.com/imaging/iso-14524/" TargetMode="External" /><Relationship Id="rIdHyperlink104" Type="http://schemas.openxmlformats.org/officeDocument/2006/relationships/hyperlink" Target="https://www.imatest.com/imaging/iso-14524/" TargetMode="External" /><Relationship Id="rIdHyperlink105" Type="http://schemas.openxmlformats.org/officeDocument/2006/relationships/hyperlink" Target="https://library.imaging.org/ei/articles/28/18/art00013" TargetMode="External" /><Relationship Id="rIdHyperlink106" Type="http://schemas.openxmlformats.org/officeDocument/2006/relationships/hyperlink" Target="https://library.imaging.org/ei/articles/28/18/art00013" TargetMode="External" /><Relationship Id="rIdHyperlink107" Type="http://schemas.openxmlformats.org/officeDocument/2006/relationships/hyperlink" Target="https://www.ipol.im/pub/art/2024/530/" TargetMode="External" /><Relationship Id="rIdHyperlink108" Type="http://schemas.openxmlformats.org/officeDocument/2006/relationships/hyperlink" Target="https://www.ipol.im/meta/terms/" TargetMode="External" /><Relationship Id="rIdHyperlink109" Type="http://schemas.openxmlformats.org/officeDocument/2006/relationships/hyperlink" Target="https://www.emva.org/wp-content/uploads/EMVA1288Linear_4.0Release.pdf" TargetMode="External" /><Relationship Id="rIdHyperlink110" Type="http://schemas.openxmlformats.org/officeDocument/2006/relationships/hyperlink" Target="https://creativecommons.org/licenses/by-nd/4.0/" TargetMode="External" /><Relationship Id="rIdHyperlink111" Type="http://schemas.openxmlformats.org/officeDocument/2006/relationships/hyperlink" Target="https://source.android.com/docs/core/camera/camera3" TargetMode="External" /><Relationship Id="rIdHyperlink112" Type="http://schemas.openxmlformats.org/officeDocument/2006/relationships/hyperlink" Target="https://source.android.com/license" TargetMode="External" /><Relationship Id="rIdHyperlink113" Type="http://schemas.openxmlformats.org/officeDocument/2006/relationships/hyperlink" Target="https://www.cipa.jp/e/std/std-sec.html" TargetMode="External" /><Relationship Id="rIdHyperlink114" Type="http://schemas.openxmlformats.org/officeDocument/2006/relationships/hyperlink" Target="https://www.cipa.jp/e/std/std-sec.html" TargetMode="External" /><Relationship Id="rIdHyperlink115" Type="http://schemas.openxmlformats.org/officeDocument/2006/relationships/hyperlink" Target="https://docs.libcamera.org/master/api-html/classlibcamera_1_1Request.html" TargetMode="External" /><Relationship Id="rIdHyperlink116" Type="http://schemas.openxmlformats.org/officeDocument/2006/relationships/hyperlink" Target="https://docs.libcamera.org/master/api-html/classlibcamera_1_1Request.html" TargetMode="External" /><Relationship Id="rIdHyperlink117" Type="http://schemas.openxmlformats.org/officeDocument/2006/relationships/hyperlink" Target="https://helpx.adobe.com/camera-raw/digital-negative.html" TargetMode="External" /><Relationship Id="rIdHyperlink118" Type="http://schemas.openxmlformats.org/officeDocument/2006/relationships/hyperlink" Target="https://helpx.adobe.com/camera-raw/digital-negative.html" TargetMode="External" /><Relationship Id="rIdHyperlink119" Type="http://schemas.openxmlformats.org/officeDocument/2006/relationships/hyperlink" Target="https://www.sony-semicon.com/en/technology/camera/index.html" TargetMode="External" /><Relationship Id="rIdHyperlink120" Type="http://schemas.openxmlformats.org/officeDocument/2006/relationships/hyperlink" Target="https://www.sony-semicon.com/en/technology/camera/index.html" TargetMode="External" /></Relationships>
</file>

<file path=xl/worksheets/sheet1.xml><?xml version="1.0" encoding="utf-8"?>
<x:worksheet xmlns:r="http://schemas.openxmlformats.org/officeDocument/2006/relationships" xmlns:x="http://schemas.openxmlformats.org/spreadsheetml/2006/main">
  <x:sheetPr filterMode="false">
    <x:pageSetUpPr fitToPage="false"/>
  </x:sheetPr>
  <x:dimension ref="A1:Z300"/>
  <x:sheetViews>
    <x:sheetView showFormulas="false" showGridLines="false" showRowColHeaders="true" showZeros="true" rightToLeft="false" tabSelected="true" showOutlineSymbols="true" defaultGridColor="true" view="normal" topLeftCell="A1" colorId="64" zoomScale="100" zoomScaleNormal="100" zoomScalePageLayoutView="100" workbookViewId="0">
      <x:pane topLeftCell="C4" activePane="bottomRight" state="frozen" xSplit="2" ySplit="3"/>
      <x:selection pane="topLeft" activeCell="A1" activeCellId="0" sqref="A1"/>
      <x:selection pane="topRight" activeCell="C1" activeCellId="0" sqref="C1"/>
      <x:selection pane="bottomLeft" activeCell="A4" activeCellId="0" sqref="A4"/>
      <x:selection pane="bottomRight" activeCell="A1" activeCellId="0" sqref="A1"/>
    </x:sheetView>
  </x:sheetViews>
  <x:sheetFormatPr defaultColWidth="8.6796875" defaultRowHeight="15" customHeight="false" zeroHeight="false" outlineLevelRow="0" outlineLevelCol="0"/>
  <x:cols>
    <x:col collapsed="false" customWidth="true" hidden="false" outlineLevel="0" max="1" min="1" style="0" width="14"/>
    <x:col collapsed="false" customWidth="true" hidden="false" outlineLevel="0" max="2" min="2" style="0" width="8"/>
    <x:col collapsed="false" customWidth="true" hidden="false" outlineLevel="0" max="3" min="3" style="0" width="26"/>
    <x:col collapsed="false" customWidth="true" hidden="false" outlineLevel="0" max="4" min="4" style="0" width="34"/>
    <x:col collapsed="false" customWidth="true" hidden="false" outlineLevel="0" max="5" min="5" style="0" width="16"/>
    <x:col collapsed="false" customWidth="true" hidden="false" outlineLevel="0" max="6" min="6" style="0" width="34"/>
    <x:col collapsed="false" customWidth="true" hidden="false" outlineLevel="0" max="8" min="7" style="0" width="9"/>
    <x:col collapsed="false" customWidth="true" hidden="false" outlineLevel="0" max="9" min="9" style="0" width="36"/>
    <x:col collapsed="false" customWidth="true" hidden="false" outlineLevel="0" max="10" min="10" style="0" width="18"/>
    <x:col collapsed="false" customWidth="true" hidden="false" outlineLevel="0" max="11" min="11" style="0" width="38"/>
    <x:col collapsed="false" customWidth="true" hidden="false" outlineLevel="0" max="12" min="12" style="0" width="25"/>
    <x:col collapsed="false" customWidth="true" hidden="false" outlineLevel="0" max="13" min="13" style="0" width="58"/>
    <x:col collapsed="false" customWidth="true" hidden="false" outlineLevel="0" max="14" min="14" style="0" width="54"/>
    <x:col collapsed="false" customWidth="true" hidden="false" outlineLevel="0" max="15" min="15" style="0" width="46"/>
    <x:col collapsed="false" customWidth="true" hidden="false" outlineLevel="0" max="16" min="16" style="0" width="18"/>
    <x:col collapsed="false" customWidth="true" hidden="false" outlineLevel="0" max="17" min="17" style="0" width="42"/>
    <x:col collapsed="false" customWidth="true" hidden="false" outlineLevel="0" max="18" min="18" style="0" width="45"/>
    <x:col collapsed="false" customWidth="true" hidden="false" outlineLevel="0" max="19" min="19" style="0" width="38"/>
    <x:col collapsed="false" customWidth="true" hidden="false" outlineLevel="0" max="20" min="20" style="0" width="24"/>
    <x:col collapsed="false" customWidth="true" hidden="false" outlineLevel="0" max="21" min="21" style="0" width="45"/>
    <x:col collapsed="false" customWidth="true" hidden="false" outlineLevel="0" max="22" min="22" style="0" width="48"/>
    <x:col collapsed="false" customWidth="true" hidden="false" outlineLevel="0" max="23" min="23" style="0" width="34"/>
    <x:col collapsed="false" customWidth="true" hidden="false" outlineLevel="0" max="25" min="24" style="0" width="18"/>
    <x:col collapsed="false" customWidth="true" hidden="false" outlineLevel="0" max="26" min="26" style="0" width="30"/>
  </x:cols>
  <x:sheetData>
    <x:row r="1" customFormat="false" ht="30" hidden="false" customHeight="true" outlineLevel="0" collapsed="false">
      <x:c r="A1" s="1" t="s">
        <x:v>0</x:v>
      </x:c>
      <x:c r="B1" s="1"/>
      <x:c r="C1" s="1"/>
      <x:c r="D1" s="1"/>
      <x:c r="E1" s="1"/>
      <x:c r="F1" s="1"/>
      <x:c r="G1" s="1"/>
      <x:c r="H1" s="1"/>
      <x:c r="I1" s="1"/>
      <x:c r="J1" s="1"/>
      <x:c r="K1" s="1"/>
      <x:c r="L1" s="1"/>
      <x:c r="M1" s="1"/>
      <x:c r="N1" s="1"/>
      <x:c r="O1" s="1"/>
      <x:c r="P1" s="1"/>
      <x:c r="Q1" s="1"/>
      <x:c r="R1" s="1"/>
      <x:c r="S1" s="1"/>
      <x:c r="T1" s="1"/>
      <x:c r="U1" s="1"/>
      <x:c r="V1" s="1"/>
      <x:c r="W1" s="1"/>
      <x:c r="X1" s="1"/>
      <x:c r="Y1" s="1"/>
      <x:c r="Z1" s="1"/>
    </x:row>
    <x:row r="2" customFormat="false" ht="38" hidden="false" customHeight="true" outlineLevel="0" collapsed="false">
      <x:c r="A2" s="2" t="s">
        <x:v>1</x:v>
      </x:c>
      <x:c r="B2" s="2"/>
      <x:c r="C2" s="2"/>
      <x:c r="D2" s="2"/>
      <x:c r="E2" s="2"/>
      <x:c r="F2" s="2"/>
      <x:c r="G2" s="2"/>
      <x:c r="H2" s="2"/>
      <x:c r="I2" s="2"/>
      <x:c r="J2" s="2"/>
      <x:c r="K2" s="2"/>
      <x:c r="L2" s="2"/>
      <x:c r="M2" s="2"/>
      <x:c r="N2" s="2"/>
      <x:c r="O2" s="2"/>
      <x:c r="P2" s="2"/>
      <x:c r="Q2" s="2"/>
      <x:c r="R2" s="2"/>
      <x:c r="S2" s="2"/>
      <x:c r="T2" s="2"/>
      <x:c r="U2" s="2"/>
      <x:c r="V2" s="2"/>
      <x:c r="W2" s="2"/>
      <x:c r="X2" s="2"/>
      <x:c r="Y2" s="2"/>
      <x:c r="Z2" s="2"/>
    </x:row>
    <x:row r="3" customFormat="false" ht="40" hidden="false" customHeight="true" outlineLevel="0" collapsed="false">
      <x:c r="A3" s="3" t="s">
        <x:v>2</x:v>
      </x:c>
      <x:c r="B3" s="3" t="s">
        <x:v>3</x:v>
      </x:c>
      <x:c r="C3" s="3" t="s">
        <x:v>4</x:v>
      </x:c>
      <x:c r="D3" s="3" t="s">
        <x:v>5</x:v>
      </x:c>
      <x:c r="E3" s="3" t="s">
        <x:v>6</x:v>
      </x:c>
      <x:c r="F3" s="3" t="s">
        <x:v>7</x:v>
      </x:c>
      <x:c r="G3" s="3" t="s">
        <x:v>8</x:v>
      </x:c>
      <x:c r="H3" s="3" t="s">
        <x:v>9</x:v>
      </x:c>
      <x:c r="I3" s="3" t="s">
        <x:v>10</x:v>
      </x:c>
      <x:c r="J3" s="3" t="s">
        <x:v>11</x:v>
      </x:c>
      <x:c r="K3" s="3" t="s">
        <x:v>12</x:v>
      </x:c>
      <x:c r="L3" s="3" t="s">
        <x:v>13</x:v>
      </x:c>
      <x:c r="M3" s="3" t="s">
        <x:v>14</x:v>
      </x:c>
      <x:c r="N3" s="3" t="s">
        <x:v>15</x:v>
      </x:c>
      <x:c r="O3" s="3" t="s">
        <x:v>16</x:v>
      </x:c>
      <x:c r="P3" s="3" t="s">
        <x:v>17</x:v>
      </x:c>
      <x:c r="Q3" s="3" t="s">
        <x:v>18</x:v>
      </x:c>
      <x:c r="R3" s="3" t="s">
        <x:v>19</x:v>
      </x:c>
      <x:c r="S3" s="3" t="s">
        <x:v>20</x:v>
      </x:c>
      <x:c r="T3" s="3" t="s">
        <x:v>21</x:v>
      </x:c>
      <x:c r="U3" s="3" t="s">
        <x:v>22</x:v>
      </x:c>
      <x:c r="V3" s="3" t="s">
        <x:v>23</x:v>
      </x:c>
      <x:c r="W3" s="3" t="s">
        <x:v>24</x:v>
      </x:c>
      <x:c r="X3" s="3" t="s">
        <x:v>25</x:v>
      </x:c>
      <x:c r="Y3" s="3" t="s">
        <x:v>26</x:v>
      </x:c>
      <x:c r="Z3" s="3" t="s">
        <x:v>27</x:v>
      </x:c>
    </x:row>
    <x:row r="4" customFormat="false" ht="78" hidden="false" customHeight="true" outlineLevel="0" collapsed="false">
      <x:c r="A4" s="4" t="s">
        <x:v>28</x:v>
      </x:c>
      <x:c r="B4" s="5" t="s">
        <x:v>29</x:v>
      </x:c>
      <x:c r="C4" s="4" t="s">
        <x:v>30</x:v>
      </x:c>
      <x:c r="D4" s="4" t="s">
        <x:v>31</x:v>
      </x:c>
      <x:c r="E4" s="4" t="s">
        <x:v>32</x:v>
      </x:c>
      <x:c r="F4" s="4" t="s">
        <x:v>33</x:v>
      </x:c>
      <x:c r="G4" s="4" t="s">
        <x:v>34</x:v>
      </x:c>
      <x:c r="H4" s="4" t="s">
        <x:v>35</x:v>
      </x:c>
      <x:c r="I4" s="4" t="s">
        <x:v>36</x:v>
      </x:c>
      <x:c r="J4" s="4" t="s">
        <x:v>37</x:v>
      </x:c>
      <x:c r="K4" s="4" t="s">
        <x:v>38</x:v>
      </x:c>
      <x:c r="L4" s="4" t="s">
        <x:v>39</x:v>
      </x:c>
      <x:c r="M4" s="4" t="s">
        <x:v>40</x:v>
      </x:c>
      <x:c r="N4" s="4" t="s">
        <x:v>41</x:v>
      </x:c>
      <x:c r="O4" s="4" t="s">
        <x:v>42</x:v>
      </x:c>
      <x:c r="P4" s="4"/>
      <x:c r="Q4" s="4" t="s">
        <x:v>43</x:v>
      </x:c>
      <x:c r="R4" s="6" t="s">
        <x:v>44</x:v>
      </x:c>
      <x:c r="S4" s="4"/>
      <x:c r="T4" s="4"/>
      <x:c r="U4" s="6"/>
      <x:c r="V4" s="4" t="s">
        <x:v>45</x:v>
      </x:c>
      <x:c r="W4" s="4" t="s">
        <x:v>46</x:v>
      </x:c>
      <x:c r="X4" s="4"/>
      <x:c r="Y4" s="4"/>
      <x:c r="Z4" s="4"/>
    </x:row>
    <x:row r="5" customFormat="false" ht="78" hidden="false" customHeight="true" outlineLevel="0" collapsed="false">
      <x:c r="A5" s="4" t="s">
        <x:v>28</x:v>
      </x:c>
      <x:c r="B5" s="5" t="s">
        <x:v>47</x:v>
      </x:c>
      <x:c r="C5" s="4" t="s">
        <x:v>30</x:v>
      </x:c>
      <x:c r="D5" s="4" t="s">
        <x:v>31</x:v>
      </x:c>
      <x:c r="E5" s="4" t="s">
        <x:v>32</x:v>
      </x:c>
      <x:c r="F5" s="4" t="s">
        <x:v>33</x:v>
      </x:c>
      <x:c r="G5" s="4" t="s">
        <x:v>34</x:v>
      </x:c>
      <x:c r="H5" s="4" t="s">
        <x:v>35</x:v>
      </x:c>
      <x:c r="I5" s="4" t="s">
        <x:v>48</x:v>
      </x:c>
      <x:c r="J5" s="4" t="s">
        <x:v>37</x:v>
      </x:c>
      <x:c r="K5" s="4" t="s">
        <x:v>38</x:v>
      </x:c>
      <x:c r="L5" s="4" t="s">
        <x:v>49</x:v>
      </x:c>
      <x:c r="M5" s="4" t="s">
        <x:v>50</x:v>
      </x:c>
      <x:c r="N5" s="4" t="s">
        <x:v>51</x:v>
      </x:c>
      <x:c r="O5" s="4" t="s">
        <x:v>42</x:v>
      </x:c>
      <x:c r="P5" s="4"/>
      <x:c r="Q5" s="4" t="s">
        <x:v>52</x:v>
      </x:c>
      <x:c r="R5" s="6" t="s">
        <x:v>44</x:v>
      </x:c>
      <x:c r="S5" s="4"/>
      <x:c r="T5" s="4"/>
      <x:c r="U5" s="6"/>
      <x:c r="V5" s="4" t="s">
        <x:v>45</x:v>
      </x:c>
      <x:c r="W5" s="4" t="s">
        <x:v>46</x:v>
      </x:c>
      <x:c r="X5" s="4"/>
      <x:c r="Y5" s="4"/>
      <x:c r="Z5" s="4"/>
    </x:row>
    <x:row r="6" customFormat="false" ht="78" hidden="false" customHeight="true" outlineLevel="0" collapsed="false">
      <x:c r="A6" s="4" t="s">
        <x:v>28</x:v>
      </x:c>
      <x:c r="B6" s="5" t="s">
        <x:v>53</x:v>
      </x:c>
      <x:c r="C6" s="4" t="s">
        <x:v>30</x:v>
      </x:c>
      <x:c r="D6" s="4" t="s">
        <x:v>31</x:v>
      </x:c>
      <x:c r="E6" s="4" t="s">
        <x:v>32</x:v>
      </x:c>
      <x:c r="F6" s="4" t="s">
        <x:v>33</x:v>
      </x:c>
      <x:c r="G6" s="4" t="s">
        <x:v>34</x:v>
      </x:c>
      <x:c r="H6" s="4" t="s">
        <x:v>35</x:v>
      </x:c>
      <x:c r="I6" s="4" t="s">
        <x:v>54</x:v>
      </x:c>
      <x:c r="J6" s="4" t="s">
        <x:v>37</x:v>
      </x:c>
      <x:c r="K6" s="4" t="s">
        <x:v>38</x:v>
      </x:c>
      <x:c r="L6" s="4" t="s">
        <x:v>55</x:v>
      </x:c>
      <x:c r="M6" s="4" t="s">
        <x:v>56</x:v>
      </x:c>
      <x:c r="N6" s="4" t="s">
        <x:v>57</x:v>
      </x:c>
      <x:c r="O6" s="4" t="s">
        <x:v>42</x:v>
      </x:c>
      <x:c r="P6" s="4"/>
      <x:c r="Q6" s="4" t="s">
        <x:v>58</x:v>
      </x:c>
      <x:c r="R6" s="6" t="s">
        <x:v>44</x:v>
      </x:c>
      <x:c r="S6" s="4"/>
      <x:c r="T6" s="4"/>
      <x:c r="U6" s="6"/>
      <x:c r="V6" s="4" t="s">
        <x:v>45</x:v>
      </x:c>
      <x:c r="W6" s="4" t="s">
        <x:v>46</x:v>
      </x:c>
      <x:c r="X6" s="4"/>
      <x:c r="Y6" s="4"/>
      <x:c r="Z6" s="4"/>
    </x:row>
    <x:row r="7" customFormat="false" ht="78" hidden="false" customHeight="true" outlineLevel="0" collapsed="false">
      <x:c r="A7" s="4" t="s">
        <x:v>28</x:v>
      </x:c>
      <x:c r="B7" s="5" t="s">
        <x:v>59</x:v>
      </x:c>
      <x:c r="C7" s="4" t="s">
        <x:v>30</x:v>
      </x:c>
      <x:c r="D7" s="4" t="s">
        <x:v>31</x:v>
      </x:c>
      <x:c r="E7" s="4" t="s">
        <x:v>32</x:v>
      </x:c>
      <x:c r="F7" s="4" t="s">
        <x:v>33</x:v>
      </x:c>
      <x:c r="G7" s="4" t="s">
        <x:v>34</x:v>
      </x:c>
      <x:c r="H7" s="4" t="s">
        <x:v>35</x:v>
      </x:c>
      <x:c r="I7" s="4" t="s">
        <x:v>60</x:v>
      </x:c>
      <x:c r="J7" s="4" t="s">
        <x:v>37</x:v>
      </x:c>
      <x:c r="K7" s="4" t="s">
        <x:v>61</x:v>
      </x:c>
      <x:c r="L7" s="4" t="s">
        <x:v>62</x:v>
      </x:c>
      <x:c r="M7" s="4" t="s">
        <x:v>63</x:v>
      </x:c>
      <x:c r="N7" s="4" t="s">
        <x:v>64</x:v>
      </x:c>
      <x:c r="O7" s="4" t="s">
        <x:v>42</x:v>
      </x:c>
      <x:c r="P7" s="4"/>
      <x:c r="Q7" s="4" t="s">
        <x:v>65</x:v>
      </x:c>
      <x:c r="R7" s="6" t="s">
        <x:v>66</x:v>
      </x:c>
      <x:c r="S7" s="4" t="s">
        <x:v>38</x:v>
      </x:c>
      <x:c r="T7" s="4" t="s">
        <x:v>67</x:v>
      </x:c>
      <x:c r="U7" s="6" t="s">
        <x:v>44</x:v>
      </x:c>
      <x:c r="V7" s="4" t="s">
        <x:v>45</x:v>
      </x:c>
      <x:c r="W7" s="4" t="s">
        <x:v>46</x:v>
      </x:c>
      <x:c r="X7" s="4"/>
      <x:c r="Y7" s="4"/>
      <x:c r="Z7" s="4"/>
    </x:row>
    <x:row r="8" customFormat="false" ht="78" hidden="false" customHeight="true" outlineLevel="0" collapsed="false">
      <x:c r="A8" s="4" t="s">
        <x:v>28</x:v>
      </x:c>
      <x:c r="B8" s="5" t="s">
        <x:v>68</x:v>
      </x:c>
      <x:c r="C8" s="4" t="s">
        <x:v>30</x:v>
      </x:c>
      <x:c r="D8" s="4" t="s">
        <x:v>31</x:v>
      </x:c>
      <x:c r="E8" s="4" t="s">
        <x:v>32</x:v>
      </x:c>
      <x:c r="F8" s="4" t="s">
        <x:v>33</x:v>
      </x:c>
      <x:c r="G8" s="4" t="s">
        <x:v>34</x:v>
      </x:c>
      <x:c r="H8" s="4" t="s">
        <x:v>35</x:v>
      </x:c>
      <x:c r="I8" s="4" t="s">
        <x:v>69</x:v>
      </x:c>
      <x:c r="J8" s="4" t="s">
        <x:v>37</x:v>
      </x:c>
      <x:c r="K8" s="4" t="s">
        <x:v>38</x:v>
      </x:c>
      <x:c r="L8" s="4" t="s">
        <x:v>70</x:v>
      </x:c>
      <x:c r="M8" s="4" t="s">
        <x:v>71</x:v>
      </x:c>
      <x:c r="N8" s="4" t="s">
        <x:v>72</x:v>
      </x:c>
      <x:c r="O8" s="4" t="s">
        <x:v>42</x:v>
      </x:c>
      <x:c r="P8" s="4"/>
      <x:c r="Q8" s="4" t="s">
        <x:v>73</x:v>
      </x:c>
      <x:c r="R8" s="6" t="s">
        <x:v>44</x:v>
      </x:c>
      <x:c r="S8" s="4" t="s">
        <x:v>74</x:v>
      </x:c>
      <x:c r="T8" s="4" t="s">
        <x:v>75</x:v>
      </x:c>
      <x:c r="U8" s="6" t="s">
        <x:v>76</x:v>
      </x:c>
      <x:c r="V8" s="4" t="s">
        <x:v>45</x:v>
      </x:c>
      <x:c r="W8" s="4" t="s">
        <x:v>46</x:v>
      </x:c>
      <x:c r="X8" s="4"/>
      <x:c r="Y8" s="4"/>
      <x:c r="Z8" s="4"/>
    </x:row>
    <x:row r="9" customFormat="false" ht="78" hidden="false" customHeight="true" outlineLevel="0" collapsed="false">
      <x:c r="A9" s="4" t="s">
        <x:v>28</x:v>
      </x:c>
      <x:c r="B9" s="5" t="s">
        <x:v>77</x:v>
      </x:c>
      <x:c r="C9" s="4" t="s">
        <x:v>30</x:v>
      </x:c>
      <x:c r="D9" s="4" t="s">
        <x:v>31</x:v>
      </x:c>
      <x:c r="E9" s="4" t="s">
        <x:v>32</x:v>
      </x:c>
      <x:c r="F9" s="4" t="s">
        <x:v>33</x:v>
      </x:c>
      <x:c r="G9" s="4" t="s">
        <x:v>34</x:v>
      </x:c>
      <x:c r="H9" s="4" t="s">
        <x:v>35</x:v>
      </x:c>
      <x:c r="I9" s="4" t="s">
        <x:v>78</x:v>
      </x:c>
      <x:c r="J9" s="4" t="s">
        <x:v>37</x:v>
      </x:c>
      <x:c r="K9" s="4" t="s">
        <x:v>79</x:v>
      </x:c>
      <x:c r="L9" s="4" t="s">
        <x:v>80</x:v>
      </x:c>
      <x:c r="M9" s="4" t="s">
        <x:v>81</x:v>
      </x:c>
      <x:c r="N9" s="4" t="s">
        <x:v>82</x:v>
      </x:c>
      <x:c r="O9" s="4" t="s">
        <x:v>42</x:v>
      </x:c>
      <x:c r="P9" s="4"/>
      <x:c r="Q9" s="4" t="s">
        <x:v>83</x:v>
      </x:c>
      <x:c r="R9" s="6" t="s">
        <x:v>84</x:v>
      </x:c>
      <x:c r="S9" s="4"/>
      <x:c r="T9" s="4"/>
      <x:c r="U9" s="6"/>
      <x:c r="V9" s="4" t="s">
        <x:v>45</x:v>
      </x:c>
      <x:c r="W9" s="4" t="s">
        <x:v>46</x:v>
      </x:c>
      <x:c r="X9" s="4"/>
      <x:c r="Y9" s="4"/>
      <x:c r="Z9" s="4"/>
    </x:row>
    <x:row r="10" customFormat="false" ht="78" hidden="false" customHeight="true" outlineLevel="0" collapsed="false">
      <x:c r="A10" s="4" t="s">
        <x:v>28</x:v>
      </x:c>
      <x:c r="B10" s="5" t="s">
        <x:v>85</x:v>
      </x:c>
      <x:c r="C10" s="4" t="s">
        <x:v>30</x:v>
      </x:c>
      <x:c r="D10" s="4" t="s">
        <x:v>31</x:v>
      </x:c>
      <x:c r="E10" s="4" t="s">
        <x:v>32</x:v>
      </x:c>
      <x:c r="F10" s="4" t="s">
        <x:v>33</x:v>
      </x:c>
      <x:c r="G10" s="4" t="s">
        <x:v>34</x:v>
      </x:c>
      <x:c r="H10" s="4" t="s">
        <x:v>35</x:v>
      </x:c>
      <x:c r="I10" s="4" t="s">
        <x:v>86</x:v>
      </x:c>
      <x:c r="J10" s="4" t="s">
        <x:v>37</x:v>
      </x:c>
      <x:c r="K10" s="4" t="s">
        <x:v>79</x:v>
      </x:c>
      <x:c r="L10" s="4" t="s">
        <x:v>87</x:v>
      </x:c>
      <x:c r="M10" s="4" t="s">
        <x:v>88</x:v>
      </x:c>
      <x:c r="N10" s="4" t="s">
        <x:v>89</x:v>
      </x:c>
      <x:c r="O10" s="4" t="s">
        <x:v>42</x:v>
      </x:c>
      <x:c r="P10" s="4"/>
      <x:c r="Q10" s="4" t="s">
        <x:v>90</x:v>
      </x:c>
      <x:c r="R10" s="6" t="s">
        <x:v>84</x:v>
      </x:c>
      <x:c r="S10" s="4" t="s">
        <x:v>38</x:v>
      </x:c>
      <x:c r="T10" s="4" t="s">
        <x:v>91</x:v>
      </x:c>
      <x:c r="U10" s="6" t="s">
        <x:v>44</x:v>
      </x:c>
      <x:c r="V10" s="4" t="s">
        <x:v>45</x:v>
      </x:c>
      <x:c r="W10" s="4" t="s">
        <x:v>46</x:v>
      </x:c>
      <x:c r="X10" s="4"/>
      <x:c r="Y10" s="4"/>
      <x:c r="Z10" s="4"/>
    </x:row>
    <x:row r="11" customFormat="false" ht="78" hidden="false" customHeight="true" outlineLevel="0" collapsed="false">
      <x:c r="A11" s="4" t="s">
        <x:v>28</x:v>
      </x:c>
      <x:c r="B11" s="5" t="s">
        <x:v>92</x:v>
      </x:c>
      <x:c r="C11" s="4" t="s">
        <x:v>30</x:v>
      </x:c>
      <x:c r="D11" s="4" t="s">
        <x:v>93</x:v>
      </x:c>
      <x:c r="E11" s="4" t="s">
        <x:v>32</x:v>
      </x:c>
      <x:c r="F11" s="4" t="s">
        <x:v>94</x:v>
      </x:c>
      <x:c r="G11" s="4" t="s">
        <x:v>34</x:v>
      </x:c>
      <x:c r="H11" s="4" t="s">
        <x:v>95</x:v>
      </x:c>
      <x:c r="I11" s="4" t="s">
        <x:v>96</x:v>
      </x:c>
      <x:c r="J11" s="4" t="s">
        <x:v>37</x:v>
      </x:c>
      <x:c r="K11" s="4" t="s">
        <x:v>79</x:v>
      </x:c>
      <x:c r="L11" s="4" t="s">
        <x:v>87</x:v>
      </x:c>
      <x:c r="M11" s="4" t="s">
        <x:v>97</x:v>
      </x:c>
      <x:c r="N11" s="4" t="s">
        <x:v>98</x:v>
      </x:c>
      <x:c r="O11" s="4" t="s">
        <x:v>99</x:v>
      </x:c>
      <x:c r="P11" s="4" t="s">
        <x:v>100</x:v>
      </x:c>
      <x:c r="Q11" s="4" t="s">
        <x:v>101</x:v>
      </x:c>
      <x:c r="R11" s="6" t="s">
        <x:v>84</x:v>
      </x:c>
      <x:c r="S11" s="4" t="s">
        <x:v>38</x:v>
      </x:c>
      <x:c r="T11" s="4" t="s">
        <x:v>91</x:v>
      </x:c>
      <x:c r="U11" s="6" t="s">
        <x:v>44</x:v>
      </x:c>
      <x:c r="V11" s="4" t="s">
        <x:v>45</x:v>
      </x:c>
      <x:c r="W11" s="4" t="s">
        <x:v>46</x:v>
      </x:c>
      <x:c r="X11" s="4"/>
      <x:c r="Y11" s="4"/>
      <x:c r="Z11" s="4"/>
    </x:row>
    <x:row r="12" customFormat="false" ht="78" hidden="false" customHeight="true" outlineLevel="0" collapsed="false">
      <x:c r="A12" s="4" t="s">
        <x:v>28</x:v>
      </x:c>
      <x:c r="B12" s="5" t="s">
        <x:v>102</x:v>
      </x:c>
      <x:c r="C12" s="4" t="s">
        <x:v>30</x:v>
      </x:c>
      <x:c r="D12" s="4" t="s">
        <x:v>31</x:v>
      </x:c>
      <x:c r="E12" s="4" t="s">
        <x:v>32</x:v>
      </x:c>
      <x:c r="F12" s="4" t="s">
        <x:v>33</x:v>
      </x:c>
      <x:c r="G12" s="4" t="s">
        <x:v>34</x:v>
      </x:c>
      <x:c r="H12" s="4" t="s">
        <x:v>35</x:v>
      </x:c>
      <x:c r="I12" s="4" t="s">
        <x:v>103</x:v>
      </x:c>
      <x:c r="J12" s="4" t="s">
        <x:v>37</x:v>
      </x:c>
      <x:c r="K12" s="4" t="s">
        <x:v>38</x:v>
      </x:c>
      <x:c r="L12" s="4" t="s">
        <x:v>104</x:v>
      </x:c>
      <x:c r="M12" s="4" t="s">
        <x:v>105</x:v>
      </x:c>
      <x:c r="N12" s="4" t="s">
        <x:v>106</x:v>
      </x:c>
      <x:c r="O12" s="4" t="s">
        <x:v>42</x:v>
      </x:c>
      <x:c r="P12" s="4"/>
      <x:c r="Q12" s="4" t="s">
        <x:v>107</x:v>
      </x:c>
      <x:c r="R12" s="6" t="s">
        <x:v>44</x:v>
      </x:c>
      <x:c r="S12" s="4" t="s">
        <x:v>74</x:v>
      </x:c>
      <x:c r="T12" s="4" t="s">
        <x:v>108</x:v>
      </x:c>
      <x:c r="U12" s="6" t="s">
        <x:v>76</x:v>
      </x:c>
      <x:c r="V12" s="4" t="s">
        <x:v>45</x:v>
      </x:c>
      <x:c r="W12" s="4" t="s">
        <x:v>46</x:v>
      </x:c>
      <x:c r="X12" s="4"/>
      <x:c r="Y12" s="4"/>
      <x:c r="Z12" s="4"/>
    </x:row>
    <x:row r="13" customFormat="false" ht="78" hidden="false" customHeight="true" outlineLevel="0" collapsed="false">
      <x:c r="A13" s="4" t="s">
        <x:v>28</x:v>
      </x:c>
      <x:c r="B13" s="5" t="s">
        <x:v>109</x:v>
      </x:c>
      <x:c r="C13" s="4" t="s">
        <x:v>30</x:v>
      </x:c>
      <x:c r="D13" s="4" t="s">
        <x:v>31</x:v>
      </x:c>
      <x:c r="E13" s="4" t="s">
        <x:v>110</x:v>
      </x:c>
      <x:c r="F13" s="4" t="s">
        <x:v>33</x:v>
      </x:c>
      <x:c r="G13" s="4" t="s">
        <x:v>111</x:v>
      </x:c>
      <x:c r="H13" s="4" t="s">
        <x:v>95</x:v>
      </x:c>
      <x:c r="I13" s="4" t="s">
        <x:v>112</x:v>
      </x:c>
      <x:c r="J13" s="4" t="s">
        <x:v>113</x:v>
      </x:c>
      <x:c r="K13" s="4" t="s">
        <x:v>38</x:v>
      </x:c>
      <x:c r="L13" s="4" t="s">
        <x:v>104</x:v>
      </x:c>
      <x:c r="M13" s="4" t="s">
        <x:v>114</x:v>
      </x:c>
      <x:c r="N13" s="4" t="s">
        <x:v>115</x:v>
      </x:c>
      <x:c r="O13" s="4" t="s">
        <x:v>42</x:v>
      </x:c>
      <x:c r="P13" s="4"/>
      <x:c r="Q13" s="4" t="s">
        <x:v>116</x:v>
      </x:c>
      <x:c r="R13" s="6" t="s">
        <x:v>44</x:v>
      </x:c>
      <x:c r="S13" s="4" t="s">
        <x:v>79</x:v>
      </x:c>
      <x:c r="T13" s="4" t="s">
        <x:v>117</x:v>
      </x:c>
      <x:c r="U13" s="6" t="s">
        <x:v>84</x:v>
      </x:c>
      <x:c r="V13" s="4" t="s">
        <x:v>45</x:v>
      </x:c>
      <x:c r="W13" s="4" t="s">
        <x:v>46</x:v>
      </x:c>
      <x:c r="X13" s="4"/>
      <x:c r="Y13" s="4"/>
      <x:c r="Z13" s="4"/>
    </x:row>
    <x:row r="14" customFormat="false" ht="78" hidden="false" customHeight="true" outlineLevel="0" collapsed="false">
      <x:c r="A14" s="4" t="s">
        <x:v>28</x:v>
      </x:c>
      <x:c r="B14" s="5" t="s">
        <x:v>118</x:v>
      </x:c>
      <x:c r="C14" s="4" t="s">
        <x:v>30</x:v>
      </x:c>
      <x:c r="D14" s="4" t="s">
        <x:v>31</x:v>
      </x:c>
      <x:c r="E14" s="4" t="s">
        <x:v>32</x:v>
      </x:c>
      <x:c r="F14" s="4" t="s">
        <x:v>33</x:v>
      </x:c>
      <x:c r="G14" s="4" t="s">
        <x:v>34</x:v>
      </x:c>
      <x:c r="H14" s="4" t="s">
        <x:v>35</x:v>
      </x:c>
      <x:c r="I14" s="4" t="s">
        <x:v>119</x:v>
      </x:c>
      <x:c r="J14" s="4" t="s">
        <x:v>37</x:v>
      </x:c>
      <x:c r="K14" s="4" t="s">
        <x:v>79</x:v>
      </x:c>
      <x:c r="L14" s="4" t="s">
        <x:v>120</x:v>
      </x:c>
      <x:c r="M14" s="4" t="s">
        <x:v>121</x:v>
      </x:c>
      <x:c r="N14" s="4" t="s">
        <x:v>122</x:v>
      </x:c>
      <x:c r="O14" s="4" t="s">
        <x:v>42</x:v>
      </x:c>
      <x:c r="P14" s="4"/>
      <x:c r="Q14" s="4" t="s">
        <x:v>123</x:v>
      </x:c>
      <x:c r="R14" s="6" t="s">
        <x:v>84</x:v>
      </x:c>
      <x:c r="S14" s="4" t="s">
        <x:v>74</x:v>
      </x:c>
      <x:c r="T14" s="4" t="s">
        <x:v>124</x:v>
      </x:c>
      <x:c r="U14" s="6" t="s">
        <x:v>76</x:v>
      </x:c>
      <x:c r="V14" s="4" t="s">
        <x:v>45</x:v>
      </x:c>
      <x:c r="W14" s="4" t="s">
        <x:v>46</x:v>
      </x:c>
      <x:c r="X14" s="4"/>
      <x:c r="Y14" s="4"/>
      <x:c r="Z14" s="4"/>
    </x:row>
    <x:row r="15" customFormat="false" ht="78" hidden="false" customHeight="true" outlineLevel="0" collapsed="false">
      <x:c r="A15" s="4" t="s">
        <x:v>28</x:v>
      </x:c>
      <x:c r="B15" s="5" t="s">
        <x:v>125</x:v>
      </x:c>
      <x:c r="C15" s="4" t="s">
        <x:v>126</x:v>
      </x:c>
      <x:c r="D15" s="4" t="s">
        <x:v>31</x:v>
      </x:c>
      <x:c r="E15" s="4" t="s">
        <x:v>32</x:v>
      </x:c>
      <x:c r="F15" s="4" t="s">
        <x:v>33</x:v>
      </x:c>
      <x:c r="G15" s="4" t="s">
        <x:v>34</x:v>
      </x:c>
      <x:c r="H15" s="4" t="s">
        <x:v>35</x:v>
      </x:c>
      <x:c r="I15" s="4" t="s">
        <x:v>127</x:v>
      </x:c>
      <x:c r="J15" s="4" t="s">
        <x:v>37</x:v>
      </x:c>
      <x:c r="K15" s="4" t="s">
        <x:v>61</x:v>
      </x:c>
      <x:c r="L15" s="4" t="s">
        <x:v>128</x:v>
      </x:c>
      <x:c r="M15" s="4" t="s">
        <x:v>129</x:v>
      </x:c>
      <x:c r="N15" s="4" t="s">
        <x:v>130</x:v>
      </x:c>
      <x:c r="O15" s="4" t="s">
        <x:v>42</x:v>
      </x:c>
      <x:c r="P15" s="4"/>
      <x:c r="Q15" s="4" t="s">
        <x:v>131</x:v>
      </x:c>
      <x:c r="R15" s="6" t="s">
        <x:v>132</x:v>
      </x:c>
      <x:c r="S15" s="4"/>
      <x:c r="T15" s="4"/>
      <x:c r="U15" s="6"/>
      <x:c r="V15" s="4" t="s">
        <x:v>45</x:v>
      </x:c>
      <x:c r="W15" s="4" t="s">
        <x:v>46</x:v>
      </x:c>
      <x:c r="X15" s="4"/>
      <x:c r="Y15" s="4"/>
      <x:c r="Z15" s="4"/>
    </x:row>
    <x:row r="16" customFormat="false" ht="78" hidden="false" customHeight="true" outlineLevel="0" collapsed="false">
      <x:c r="A16" s="4" t="s">
        <x:v>28</x:v>
      </x:c>
      <x:c r="B16" s="5" t="s">
        <x:v>133</x:v>
      </x:c>
      <x:c r="C16" s="4" t="s">
        <x:v>126</x:v>
      </x:c>
      <x:c r="D16" s="4" t="s">
        <x:v>31</x:v>
      </x:c>
      <x:c r="E16" s="4" t="s">
        <x:v>32</x:v>
      </x:c>
      <x:c r="F16" s="4" t="s">
        <x:v>33</x:v>
      </x:c>
      <x:c r="G16" s="4" t="s">
        <x:v>34</x:v>
      </x:c>
      <x:c r="H16" s="4" t="s">
        <x:v>35</x:v>
      </x:c>
      <x:c r="I16" s="4" t="s">
        <x:v>134</x:v>
      </x:c>
      <x:c r="J16" s="4" t="s">
        <x:v>37</x:v>
      </x:c>
      <x:c r="K16" s="4" t="s">
        <x:v>61</x:v>
      </x:c>
      <x:c r="L16" s="4" t="s">
        <x:v>135</x:v>
      </x:c>
      <x:c r="M16" s="4" t="s">
        <x:v>136</x:v>
      </x:c>
      <x:c r="N16" s="4" t="s">
        <x:v>137</x:v>
      </x:c>
      <x:c r="O16" s="4" t="s">
        <x:v>42</x:v>
      </x:c>
      <x:c r="P16" s="4"/>
      <x:c r="Q16" s="4" t="s">
        <x:v>138</x:v>
      </x:c>
      <x:c r="R16" s="6" t="s">
        <x:v>139</x:v>
      </x:c>
      <x:c r="S16" s="4" t="s">
        <x:v>79</x:v>
      </x:c>
      <x:c r="T16" s="4" t="s">
        <x:v>140</x:v>
      </x:c>
      <x:c r="U16" s="6" t="s">
        <x:v>84</x:v>
      </x:c>
      <x:c r="V16" s="4" t="s">
        <x:v>45</x:v>
      </x:c>
      <x:c r="W16" s="4" t="s">
        <x:v>46</x:v>
      </x:c>
      <x:c r="X16" s="4"/>
      <x:c r="Y16" s="4"/>
      <x:c r="Z16" s="4"/>
    </x:row>
    <x:row r="17" customFormat="false" ht="78" hidden="false" customHeight="true" outlineLevel="0" collapsed="false">
      <x:c r="A17" s="4" t="s">
        <x:v>28</x:v>
      </x:c>
      <x:c r="B17" s="5" t="s">
        <x:v>141</x:v>
      </x:c>
      <x:c r="C17" s="4" t="s">
        <x:v>126</x:v>
      </x:c>
      <x:c r="D17" s="4" t="s">
        <x:v>31</x:v>
      </x:c>
      <x:c r="E17" s="4" t="s">
        <x:v>32</x:v>
      </x:c>
      <x:c r="F17" s="4" t="s">
        <x:v>33</x:v>
      </x:c>
      <x:c r="G17" s="4" t="s">
        <x:v>34</x:v>
      </x:c>
      <x:c r="H17" s="4" t="s">
        <x:v>35</x:v>
      </x:c>
      <x:c r="I17" s="4" t="s">
        <x:v>142</x:v>
      </x:c>
      <x:c r="J17" s="4" t="s">
        <x:v>37</x:v>
      </x:c>
      <x:c r="K17" s="4" t="s">
        <x:v>79</x:v>
      </x:c>
      <x:c r="L17" s="4" t="s">
        <x:v>143</x:v>
      </x:c>
      <x:c r="M17" s="4" t="s">
        <x:v>144</x:v>
      </x:c>
      <x:c r="N17" s="4" t="s">
        <x:v>145</x:v>
      </x:c>
      <x:c r="O17" s="4" t="s">
        <x:v>42</x:v>
      </x:c>
      <x:c r="P17" s="4"/>
      <x:c r="Q17" s="4" t="s">
        <x:v>146</x:v>
      </x:c>
      <x:c r="R17" s="6" t="s">
        <x:v>84</x:v>
      </x:c>
      <x:c r="S17" s="4"/>
      <x:c r="T17" s="4"/>
      <x:c r="U17" s="6"/>
      <x:c r="V17" s="4" t="s">
        <x:v>45</x:v>
      </x:c>
      <x:c r="W17" s="4" t="s">
        <x:v>46</x:v>
      </x:c>
      <x:c r="X17" s="4"/>
      <x:c r="Y17" s="4"/>
      <x:c r="Z17" s="4"/>
    </x:row>
    <x:row r="18" customFormat="false" ht="78" hidden="false" customHeight="true" outlineLevel="0" collapsed="false">
      <x:c r="A18" s="4" t="s">
        <x:v>28</x:v>
      </x:c>
      <x:c r="B18" s="5" t="s">
        <x:v>147</x:v>
      </x:c>
      <x:c r="C18" s="4" t="s">
        <x:v>126</x:v>
      </x:c>
      <x:c r="D18" s="4" t="s">
        <x:v>31</x:v>
      </x:c>
      <x:c r="E18" s="4" t="s">
        <x:v>32</x:v>
      </x:c>
      <x:c r="F18" s="4" t="s">
        <x:v>33</x:v>
      </x:c>
      <x:c r="G18" s="4" t="s">
        <x:v>34</x:v>
      </x:c>
      <x:c r="H18" s="4" t="s">
        <x:v>35</x:v>
      </x:c>
      <x:c r="I18" s="4" t="s">
        <x:v>148</x:v>
      </x:c>
      <x:c r="J18" s="4" t="s">
        <x:v>37</x:v>
      </x:c>
      <x:c r="K18" s="4" t="s">
        <x:v>61</x:v>
      </x:c>
      <x:c r="L18" s="4" t="s">
        <x:v>149</x:v>
      </x:c>
      <x:c r="M18" s="4" t="s">
        <x:v>150</x:v>
      </x:c>
      <x:c r="N18" s="4" t="s">
        <x:v>151</x:v>
      </x:c>
      <x:c r="O18" s="4" t="s">
        <x:v>42</x:v>
      </x:c>
      <x:c r="P18" s="4"/>
      <x:c r="Q18" s="4" t="s">
        <x:v>152</x:v>
      </x:c>
      <x:c r="R18" s="6" t="s">
        <x:v>153</x:v>
      </x:c>
      <x:c r="S18" s="4" t="s">
        <x:v>79</x:v>
      </x:c>
      <x:c r="T18" s="4" t="s">
        <x:v>154</x:v>
      </x:c>
      <x:c r="U18" s="6" t="s">
        <x:v>84</x:v>
      </x:c>
      <x:c r="V18" s="4" t="s">
        <x:v>45</x:v>
      </x:c>
      <x:c r="W18" s="4" t="s">
        <x:v>46</x:v>
      </x:c>
      <x:c r="X18" s="4"/>
      <x:c r="Y18" s="4"/>
      <x:c r="Z18" s="4"/>
    </x:row>
    <x:row r="19" customFormat="false" ht="78" hidden="false" customHeight="true" outlineLevel="0" collapsed="false">
      <x:c r="A19" s="4" t="s">
        <x:v>28</x:v>
      </x:c>
      <x:c r="B19" s="5" t="s">
        <x:v>155</x:v>
      </x:c>
      <x:c r="C19" s="4" t="s">
        <x:v>126</x:v>
      </x:c>
      <x:c r="D19" s="4" t="s">
        <x:v>31</x:v>
      </x:c>
      <x:c r="E19" s="4" t="s">
        <x:v>32</x:v>
      </x:c>
      <x:c r="F19" s="4" t="s">
        <x:v>33</x:v>
      </x:c>
      <x:c r="G19" s="4" t="s">
        <x:v>34</x:v>
      </x:c>
      <x:c r="H19" s="4" t="s">
        <x:v>35</x:v>
      </x:c>
      <x:c r="I19" s="4" t="s">
        <x:v>156</x:v>
      </x:c>
      <x:c r="J19" s="4" t="s">
        <x:v>37</x:v>
      </x:c>
      <x:c r="K19" s="4" t="s">
        <x:v>61</x:v>
      </x:c>
      <x:c r="L19" s="4" t="s">
        <x:v>157</x:v>
      </x:c>
      <x:c r="M19" s="4" t="s">
        <x:v>158</x:v>
      </x:c>
      <x:c r="N19" s="4" t="s">
        <x:v>159</x:v>
      </x:c>
      <x:c r="O19" s="4" t="s">
        <x:v>42</x:v>
      </x:c>
      <x:c r="P19" s="4"/>
      <x:c r="Q19" s="4" t="s">
        <x:v>160</x:v>
      </x:c>
      <x:c r="R19" s="6" t="s">
        <x:v>132</x:v>
      </x:c>
      <x:c r="S19" s="4" t="s">
        <x:v>79</x:v>
      </x:c>
      <x:c r="T19" s="4" t="s">
        <x:v>161</x:v>
      </x:c>
      <x:c r="U19" s="6" t="s">
        <x:v>84</x:v>
      </x:c>
      <x:c r="V19" s="4" t="s">
        <x:v>45</x:v>
      </x:c>
      <x:c r="W19" s="4" t="s">
        <x:v>46</x:v>
      </x:c>
      <x:c r="X19" s="4"/>
      <x:c r="Y19" s="4"/>
      <x:c r="Z19" s="4"/>
    </x:row>
    <x:row r="20" customFormat="false" ht="78" hidden="false" customHeight="true" outlineLevel="0" collapsed="false">
      <x:c r="A20" s="4" t="s">
        <x:v>28</x:v>
      </x:c>
      <x:c r="B20" s="5" t="s">
        <x:v>162</x:v>
      </x:c>
      <x:c r="C20" s="4" t="s">
        <x:v>126</x:v>
      </x:c>
      <x:c r="D20" s="4" t="s">
        <x:v>31</x:v>
      </x:c>
      <x:c r="E20" s="4" t="s">
        <x:v>32</x:v>
      </x:c>
      <x:c r="F20" s="4" t="s">
        <x:v>33</x:v>
      </x:c>
      <x:c r="G20" s="4" t="s">
        <x:v>34</x:v>
      </x:c>
      <x:c r="H20" s="4" t="s">
        <x:v>35</x:v>
      </x:c>
      <x:c r="I20" s="4" t="s">
        <x:v>163</x:v>
      </x:c>
      <x:c r="J20" s="4" t="s">
        <x:v>37</x:v>
      </x:c>
      <x:c r="K20" s="4" t="s">
        <x:v>79</x:v>
      </x:c>
      <x:c r="L20" s="4" t="s">
        <x:v>164</x:v>
      </x:c>
      <x:c r="M20" s="4" t="s">
        <x:v>165</x:v>
      </x:c>
      <x:c r="N20" s="4" t="s">
        <x:v>166</x:v>
      </x:c>
      <x:c r="O20" s="4" t="s">
        <x:v>42</x:v>
      </x:c>
      <x:c r="P20" s="4"/>
      <x:c r="Q20" s="4" t="s">
        <x:v>167</x:v>
      </x:c>
      <x:c r="R20" s="6" t="s">
        <x:v>84</x:v>
      </x:c>
      <x:c r="S20" s="4"/>
      <x:c r="T20" s="4"/>
      <x:c r="U20" s="6"/>
      <x:c r="V20" s="4" t="s">
        <x:v>45</x:v>
      </x:c>
      <x:c r="W20" s="4" t="s">
        <x:v>46</x:v>
      </x:c>
      <x:c r="X20" s="4"/>
      <x:c r="Y20" s="4"/>
      <x:c r="Z20" s="4"/>
    </x:row>
    <x:row r="21" customFormat="false" ht="78" hidden="false" customHeight="true" outlineLevel="0" collapsed="false">
      <x:c r="A21" s="4" t="s">
        <x:v>28</x:v>
      </x:c>
      <x:c r="B21" s="5" t="s">
        <x:v>168</x:v>
      </x:c>
      <x:c r="C21" s="4" t="s">
        <x:v>126</x:v>
      </x:c>
      <x:c r="D21" s="4" t="s">
        <x:v>31</x:v>
      </x:c>
      <x:c r="E21" s="4" t="s">
        <x:v>32</x:v>
      </x:c>
      <x:c r="F21" s="4" t="s">
        <x:v>33</x:v>
      </x:c>
      <x:c r="G21" s="4" t="s">
        <x:v>34</x:v>
      </x:c>
      <x:c r="H21" s="4" t="s">
        <x:v>35</x:v>
      </x:c>
      <x:c r="I21" s="4" t="s">
        <x:v>169</x:v>
      </x:c>
      <x:c r="J21" s="4" t="s">
        <x:v>37</x:v>
      </x:c>
      <x:c r="K21" s="4" t="s">
        <x:v>79</x:v>
      </x:c>
      <x:c r="L21" s="4" t="s">
        <x:v>170</x:v>
      </x:c>
      <x:c r="M21" s="4" t="s">
        <x:v>171</x:v>
      </x:c>
      <x:c r="N21" s="4" t="s">
        <x:v>172</x:v>
      </x:c>
      <x:c r="O21" s="4" t="s">
        <x:v>42</x:v>
      </x:c>
      <x:c r="P21" s="4"/>
      <x:c r="Q21" s="4" t="s">
        <x:v>173</x:v>
      </x:c>
      <x:c r="R21" s="6" t="s">
        <x:v>84</x:v>
      </x:c>
      <x:c r="S21" s="4"/>
      <x:c r="T21" s="4"/>
      <x:c r="U21" s="6"/>
      <x:c r="V21" s="4" t="s">
        <x:v>45</x:v>
      </x:c>
      <x:c r="W21" s="4" t="s">
        <x:v>46</x:v>
      </x:c>
      <x:c r="X21" s="4"/>
      <x:c r="Y21" s="4"/>
      <x:c r="Z21" s="4"/>
    </x:row>
    <x:row r="22" customFormat="false" ht="78" hidden="false" customHeight="true" outlineLevel="0" collapsed="false">
      <x:c r="A22" s="4" t="s">
        <x:v>28</x:v>
      </x:c>
      <x:c r="B22" s="5" t="s">
        <x:v>174</x:v>
      </x:c>
      <x:c r="C22" s="4" t="s">
        <x:v>175</x:v>
      </x:c>
      <x:c r="D22" s="4" t="s">
        <x:v>31</x:v>
      </x:c>
      <x:c r="E22" s="4" t="s">
        <x:v>32</x:v>
      </x:c>
      <x:c r="F22" s="4" t="s">
        <x:v>33</x:v>
      </x:c>
      <x:c r="G22" s="4" t="s">
        <x:v>34</x:v>
      </x:c>
      <x:c r="H22" s="4" t="s">
        <x:v>35</x:v>
      </x:c>
      <x:c r="I22" s="4" t="s">
        <x:v>176</x:v>
      </x:c>
      <x:c r="J22" s="4" t="s">
        <x:v>37</x:v>
      </x:c>
      <x:c r="K22" s="4" t="s">
        <x:v>79</x:v>
      </x:c>
      <x:c r="L22" s="4" t="s">
        <x:v>177</x:v>
      </x:c>
      <x:c r="M22" s="4" t="s">
        <x:v>178</x:v>
      </x:c>
      <x:c r="N22" s="4" t="s">
        <x:v>179</x:v>
      </x:c>
      <x:c r="O22" s="4" t="s">
        <x:v>42</x:v>
      </x:c>
      <x:c r="P22" s="4"/>
      <x:c r="Q22" s="4" t="s">
        <x:v>180</x:v>
      </x:c>
      <x:c r="R22" s="6" t="s">
        <x:v>84</x:v>
      </x:c>
      <x:c r="S22" s="4"/>
      <x:c r="T22" s="4"/>
      <x:c r="U22" s="6"/>
      <x:c r="V22" s="4" t="s">
        <x:v>45</x:v>
      </x:c>
      <x:c r="W22" s="4" t="s">
        <x:v>46</x:v>
      </x:c>
      <x:c r="X22" s="4"/>
      <x:c r="Y22" s="4"/>
      <x:c r="Z22" s="4"/>
    </x:row>
    <x:row r="23" customFormat="false" ht="78" hidden="false" customHeight="true" outlineLevel="0" collapsed="false">
      <x:c r="A23" s="4" t="s">
        <x:v>28</x:v>
      </x:c>
      <x:c r="B23" s="5" t="s">
        <x:v>181</x:v>
      </x:c>
      <x:c r="C23" s="4" t="s">
        <x:v>175</x:v>
      </x:c>
      <x:c r="D23" s="4" t="s">
        <x:v>31</x:v>
      </x:c>
      <x:c r="E23" s="4" t="s">
        <x:v>32</x:v>
      </x:c>
      <x:c r="F23" s="4" t="s">
        <x:v>33</x:v>
      </x:c>
      <x:c r="G23" s="4" t="s">
        <x:v>34</x:v>
      </x:c>
      <x:c r="H23" s="4" t="s">
        <x:v>35</x:v>
      </x:c>
      <x:c r="I23" s="4" t="s">
        <x:v>182</x:v>
      </x:c>
      <x:c r="J23" s="4" t="s">
        <x:v>37</x:v>
      </x:c>
      <x:c r="K23" s="4" t="s">
        <x:v>79</x:v>
      </x:c>
      <x:c r="L23" s="4" t="s">
        <x:v>183</x:v>
      </x:c>
      <x:c r="M23" s="4" t="s">
        <x:v>184</x:v>
      </x:c>
      <x:c r="N23" s="4" t="s">
        <x:v>185</x:v>
      </x:c>
      <x:c r="O23" s="4" t="s">
        <x:v>42</x:v>
      </x:c>
      <x:c r="P23" s="4"/>
      <x:c r="Q23" s="4" t="s">
        <x:v>186</x:v>
      </x:c>
      <x:c r="R23" s="6" t="s">
        <x:v>84</x:v>
      </x:c>
      <x:c r="S23" s="4" t="s">
        <x:v>61</x:v>
      </x:c>
      <x:c r="T23" s="4" t="s">
        <x:v>135</x:v>
      </x:c>
      <x:c r="U23" s="6" t="s">
        <x:v>139</x:v>
      </x:c>
      <x:c r="V23" s="4" t="s">
        <x:v>45</x:v>
      </x:c>
      <x:c r="W23" s="4" t="s">
        <x:v>46</x:v>
      </x:c>
      <x:c r="X23" s="4"/>
      <x:c r="Y23" s="4"/>
      <x:c r="Z23" s="4"/>
    </x:row>
    <x:row r="24" customFormat="false" ht="78" hidden="false" customHeight="true" outlineLevel="0" collapsed="false">
      <x:c r="A24" s="4" t="s">
        <x:v>28</x:v>
      </x:c>
      <x:c r="B24" s="5" t="s">
        <x:v>187</x:v>
      </x:c>
      <x:c r="C24" s="4" t="s">
        <x:v>175</x:v>
      </x:c>
      <x:c r="D24" s="4" t="s">
        <x:v>31</x:v>
      </x:c>
      <x:c r="E24" s="4" t="s">
        <x:v>32</x:v>
      </x:c>
      <x:c r="F24" s="4" t="s">
        <x:v>33</x:v>
      </x:c>
      <x:c r="G24" s="4" t="s">
        <x:v>34</x:v>
      </x:c>
      <x:c r="H24" s="4" t="s">
        <x:v>35</x:v>
      </x:c>
      <x:c r="I24" s="4" t="s">
        <x:v>188</x:v>
      </x:c>
      <x:c r="J24" s="4" t="s">
        <x:v>37</x:v>
      </x:c>
      <x:c r="K24" s="4" t="s">
        <x:v>79</x:v>
      </x:c>
      <x:c r="L24" s="4" t="s">
        <x:v>143</x:v>
      </x:c>
      <x:c r="M24" s="4" t="s">
        <x:v>189</x:v>
      </x:c>
      <x:c r="N24" s="4" t="s">
        <x:v>190</x:v>
      </x:c>
      <x:c r="O24" s="4" t="s">
        <x:v>42</x:v>
      </x:c>
      <x:c r="P24" s="4"/>
      <x:c r="Q24" s="4" t="s">
        <x:v>191</x:v>
      </x:c>
      <x:c r="R24" s="6" t="s">
        <x:v>84</x:v>
      </x:c>
      <x:c r="S24" s="4"/>
      <x:c r="T24" s="4"/>
      <x:c r="U24" s="6"/>
      <x:c r="V24" s="4" t="s">
        <x:v>45</x:v>
      </x:c>
      <x:c r="W24" s="4" t="s">
        <x:v>46</x:v>
      </x:c>
      <x:c r="X24" s="4"/>
      <x:c r="Y24" s="4"/>
      <x:c r="Z24" s="4"/>
    </x:row>
    <x:row r="25" customFormat="false" ht="78" hidden="false" customHeight="true" outlineLevel="0" collapsed="false">
      <x:c r="A25" s="4" t="s">
        <x:v>28</x:v>
      </x:c>
      <x:c r="B25" s="5" t="s">
        <x:v>192</x:v>
      </x:c>
      <x:c r="C25" s="4" t="s">
        <x:v>175</x:v>
      </x:c>
      <x:c r="D25" s="4" t="s">
        <x:v>31</x:v>
      </x:c>
      <x:c r="E25" s="4" t="s">
        <x:v>32</x:v>
      </x:c>
      <x:c r="F25" s="4" t="s">
        <x:v>33</x:v>
      </x:c>
      <x:c r="G25" s="4" t="s">
        <x:v>34</x:v>
      </x:c>
      <x:c r="H25" s="4" t="s">
        <x:v>35</x:v>
      </x:c>
      <x:c r="I25" s="4" t="s">
        <x:v>193</x:v>
      </x:c>
      <x:c r="J25" s="4" t="s">
        <x:v>37</x:v>
      </x:c>
      <x:c r="K25" s="4" t="s">
        <x:v>79</x:v>
      </x:c>
      <x:c r="L25" s="4" t="s">
        <x:v>194</x:v>
      </x:c>
      <x:c r="M25" s="4" t="s">
        <x:v>195</x:v>
      </x:c>
      <x:c r="N25" s="4" t="s">
        <x:v>196</x:v>
      </x:c>
      <x:c r="O25" s="4" t="s">
        <x:v>42</x:v>
      </x:c>
      <x:c r="P25" s="4"/>
      <x:c r="Q25" s="4" t="s">
        <x:v>197</x:v>
      </x:c>
      <x:c r="R25" s="6" t="s">
        <x:v>84</x:v>
      </x:c>
      <x:c r="S25" s="4"/>
      <x:c r="T25" s="4"/>
      <x:c r="U25" s="6"/>
      <x:c r="V25" s="4" t="s">
        <x:v>45</x:v>
      </x:c>
      <x:c r="W25" s="4" t="s">
        <x:v>46</x:v>
      </x:c>
      <x:c r="X25" s="4"/>
      <x:c r="Y25" s="4"/>
      <x:c r="Z25" s="4"/>
    </x:row>
    <x:row r="26" customFormat="false" ht="78" hidden="false" customHeight="true" outlineLevel="0" collapsed="false">
      <x:c r="A26" s="4" t="s">
        <x:v>28</x:v>
      </x:c>
      <x:c r="B26" s="5" t="s">
        <x:v>198</x:v>
      </x:c>
      <x:c r="C26" s="4" t="s">
        <x:v>175</x:v>
      </x:c>
      <x:c r="D26" s="4" t="s">
        <x:v>31</x:v>
      </x:c>
      <x:c r="E26" s="4" t="s">
        <x:v>32</x:v>
      </x:c>
      <x:c r="F26" s="4" t="s">
        <x:v>33</x:v>
      </x:c>
      <x:c r="G26" s="4" t="s">
        <x:v>34</x:v>
      </x:c>
      <x:c r="H26" s="4" t="s">
        <x:v>35</x:v>
      </x:c>
      <x:c r="I26" s="4" t="s">
        <x:v>199</x:v>
      </x:c>
      <x:c r="J26" s="4" t="s">
        <x:v>37</x:v>
      </x:c>
      <x:c r="K26" s="4" t="s">
        <x:v>79</x:v>
      </x:c>
      <x:c r="L26" s="4" t="s">
        <x:v>200</x:v>
      </x:c>
      <x:c r="M26" s="4" t="s">
        <x:v>201</x:v>
      </x:c>
      <x:c r="N26" s="4" t="s">
        <x:v>202</x:v>
      </x:c>
      <x:c r="O26" s="4" t="s">
        <x:v>42</x:v>
      </x:c>
      <x:c r="P26" s="4"/>
      <x:c r="Q26" s="4" t="s">
        <x:v>203</x:v>
      </x:c>
      <x:c r="R26" s="6" t="s">
        <x:v>84</x:v>
      </x:c>
      <x:c r="S26" s="4"/>
      <x:c r="T26" s="4"/>
      <x:c r="U26" s="6"/>
      <x:c r="V26" s="4" t="s">
        <x:v>45</x:v>
      </x:c>
      <x:c r="W26" s="4" t="s">
        <x:v>46</x:v>
      </x:c>
      <x:c r="X26" s="4"/>
      <x:c r="Y26" s="4"/>
      <x:c r="Z26" s="4"/>
    </x:row>
    <x:row r="27" customFormat="false" ht="78" hidden="false" customHeight="true" outlineLevel="0" collapsed="false">
      <x:c r="A27" s="4" t="s">
        <x:v>28</x:v>
      </x:c>
      <x:c r="B27" s="5" t="s">
        <x:v>204</x:v>
      </x:c>
      <x:c r="C27" s="4" t="s">
        <x:v>175</x:v>
      </x:c>
      <x:c r="D27" s="4" t="s">
        <x:v>31</x:v>
      </x:c>
      <x:c r="E27" s="4" t="s">
        <x:v>32</x:v>
      </x:c>
      <x:c r="F27" s="4" t="s">
        <x:v>33</x:v>
      </x:c>
      <x:c r="G27" s="4" t="s">
        <x:v>34</x:v>
      </x:c>
      <x:c r="H27" s="4" t="s">
        <x:v>35</x:v>
      </x:c>
      <x:c r="I27" s="4" t="s">
        <x:v>205</x:v>
      </x:c>
      <x:c r="J27" s="4" t="s">
        <x:v>37</x:v>
      </x:c>
      <x:c r="K27" s="4" t="s">
        <x:v>79</x:v>
      </x:c>
      <x:c r="L27" s="4" t="s">
        <x:v>154</x:v>
      </x:c>
      <x:c r="M27" s="4" t="s">
        <x:v>206</x:v>
      </x:c>
      <x:c r="N27" s="4" t="s">
        <x:v>207</x:v>
      </x:c>
      <x:c r="O27" s="4" t="s">
        <x:v>42</x:v>
      </x:c>
      <x:c r="P27" s="4"/>
      <x:c r="Q27" s="4" t="s">
        <x:v>208</x:v>
      </x:c>
      <x:c r="R27" s="6" t="s">
        <x:v>84</x:v>
      </x:c>
      <x:c r="S27" s="4"/>
      <x:c r="T27" s="4"/>
      <x:c r="U27" s="6"/>
      <x:c r="V27" s="4" t="s">
        <x:v>45</x:v>
      </x:c>
      <x:c r="W27" s="4" t="s">
        <x:v>46</x:v>
      </x:c>
      <x:c r="X27" s="4"/>
      <x:c r="Y27" s="4"/>
      <x:c r="Z27" s="4"/>
    </x:row>
    <x:row r="28" customFormat="false" ht="78" hidden="false" customHeight="true" outlineLevel="0" collapsed="false">
      <x:c r="A28" s="4" t="s">
        <x:v>28</x:v>
      </x:c>
      <x:c r="B28" s="5" t="s">
        <x:v>209</x:v>
      </x:c>
      <x:c r="C28" s="4" t="s">
        <x:v>175</x:v>
      </x:c>
      <x:c r="D28" s="4" t="s">
        <x:v>31</x:v>
      </x:c>
      <x:c r="E28" s="4" t="s">
        <x:v>32</x:v>
      </x:c>
      <x:c r="F28" s="4" t="s">
        <x:v>33</x:v>
      </x:c>
      <x:c r="G28" s="4" t="s">
        <x:v>34</x:v>
      </x:c>
      <x:c r="H28" s="4" t="s">
        <x:v>35</x:v>
      </x:c>
      <x:c r="I28" s="4" t="s">
        <x:v>210</x:v>
      </x:c>
      <x:c r="J28" s="4" t="s">
        <x:v>37</x:v>
      </x:c>
      <x:c r="K28" s="4" t="s">
        <x:v>79</x:v>
      </x:c>
      <x:c r="L28" s="4" t="s">
        <x:v>154</x:v>
      </x:c>
      <x:c r="M28" s="4" t="s">
        <x:v>211</x:v>
      </x:c>
      <x:c r="N28" s="4" t="s">
        <x:v>212</x:v>
      </x:c>
      <x:c r="O28" s="4" t="s">
        <x:v>42</x:v>
      </x:c>
      <x:c r="P28" s="4"/>
      <x:c r="Q28" s="4" t="s">
        <x:v>213</x:v>
      </x:c>
      <x:c r="R28" s="6" t="s">
        <x:v>84</x:v>
      </x:c>
      <x:c r="S28" s="4"/>
      <x:c r="T28" s="4"/>
      <x:c r="U28" s="6"/>
      <x:c r="V28" s="4" t="s">
        <x:v>45</x:v>
      </x:c>
      <x:c r="W28" s="4" t="s">
        <x:v>46</x:v>
      </x:c>
      <x:c r="X28" s="4"/>
      <x:c r="Y28" s="4"/>
      <x:c r="Z28" s="4"/>
    </x:row>
    <x:row r="29" customFormat="false" ht="78" hidden="false" customHeight="true" outlineLevel="0" collapsed="false">
      <x:c r="A29" s="4" t="s">
        <x:v>28</x:v>
      </x:c>
      <x:c r="B29" s="5" t="s">
        <x:v>214</x:v>
      </x:c>
      <x:c r="C29" s="4" t="s">
        <x:v>175</x:v>
      </x:c>
      <x:c r="D29" s="4" t="s">
        <x:v>31</x:v>
      </x:c>
      <x:c r="E29" s="4" t="s">
        <x:v>32</x:v>
      </x:c>
      <x:c r="F29" s="4" t="s">
        <x:v>33</x:v>
      </x:c>
      <x:c r="G29" s="4" t="s">
        <x:v>34</x:v>
      </x:c>
      <x:c r="H29" s="4" t="s">
        <x:v>35</x:v>
      </x:c>
      <x:c r="I29" s="4" t="s">
        <x:v>215</x:v>
      </x:c>
      <x:c r="J29" s="4" t="s">
        <x:v>37</x:v>
      </x:c>
      <x:c r="K29" s="4" t="s">
        <x:v>79</x:v>
      </x:c>
      <x:c r="L29" s="4" t="s">
        <x:v>216</x:v>
      </x:c>
      <x:c r="M29" s="4" t="s">
        <x:v>217</x:v>
      </x:c>
      <x:c r="N29" s="4" t="s">
        <x:v>218</x:v>
      </x:c>
      <x:c r="O29" s="4" t="s">
        <x:v>42</x:v>
      </x:c>
      <x:c r="P29" s="4"/>
      <x:c r="Q29" s="4" t="s">
        <x:v>219</x:v>
      </x:c>
      <x:c r="R29" s="6" t="s">
        <x:v>84</x:v>
      </x:c>
      <x:c r="S29" s="4"/>
      <x:c r="T29" s="4"/>
      <x:c r="U29" s="6"/>
      <x:c r="V29" s="4" t="s">
        <x:v>45</x:v>
      </x:c>
      <x:c r="W29" s="4" t="s">
        <x:v>46</x:v>
      </x:c>
      <x:c r="X29" s="4"/>
      <x:c r="Y29" s="4"/>
      <x:c r="Z29" s="4"/>
    </x:row>
    <x:row r="30" customFormat="false" ht="78" hidden="false" customHeight="true" outlineLevel="0" collapsed="false">
      <x:c r="A30" s="4" t="s">
        <x:v>28</x:v>
      </x:c>
      <x:c r="B30" s="5" t="s">
        <x:v>220</x:v>
      </x:c>
      <x:c r="C30" s="4" t="s">
        <x:v>175</x:v>
      </x:c>
      <x:c r="D30" s="4" t="s">
        <x:v>31</x:v>
      </x:c>
      <x:c r="E30" s="4" t="s">
        <x:v>110</x:v>
      </x:c>
      <x:c r="F30" s="4" t="s">
        <x:v>33</x:v>
      </x:c>
      <x:c r="G30" s="4" t="s">
        <x:v>111</x:v>
      </x:c>
      <x:c r="H30" s="4" t="s">
        <x:v>95</x:v>
      </x:c>
      <x:c r="I30" s="4" t="s">
        <x:v>221</x:v>
      </x:c>
      <x:c r="J30" s="4" t="s">
        <x:v>37</x:v>
      </x:c>
      <x:c r="K30" s="4" t="s">
        <x:v>79</x:v>
      </x:c>
      <x:c r="L30" s="4" t="s">
        <x:v>161</x:v>
      </x:c>
      <x:c r="M30" s="4" t="s">
        <x:v>222</x:v>
      </x:c>
      <x:c r="N30" s="4" t="s">
        <x:v>223</x:v>
      </x:c>
      <x:c r="O30" s="4" t="s">
        <x:v>42</x:v>
      </x:c>
      <x:c r="P30" s="4"/>
      <x:c r="Q30" s="4" t="s">
        <x:v>224</x:v>
      </x:c>
      <x:c r="R30" s="6" t="s">
        <x:v>84</x:v>
      </x:c>
      <x:c r="S30" s="4"/>
      <x:c r="T30" s="4"/>
      <x:c r="U30" s="6"/>
      <x:c r="V30" s="4" t="s">
        <x:v>45</x:v>
      </x:c>
      <x:c r="W30" s="4" t="s">
        <x:v>46</x:v>
      </x:c>
      <x:c r="X30" s="4"/>
      <x:c r="Y30" s="4"/>
      <x:c r="Z30" s="4"/>
    </x:row>
    <x:row r="31" customFormat="false" ht="78" hidden="false" customHeight="true" outlineLevel="0" collapsed="false">
      <x:c r="A31" s="4" t="s">
        <x:v>28</x:v>
      </x:c>
      <x:c r="B31" s="5" t="s">
        <x:v>225</x:v>
      </x:c>
      <x:c r="C31" s="4" t="s">
        <x:v>175</x:v>
      </x:c>
      <x:c r="D31" s="4" t="s">
        <x:v>31</x:v>
      </x:c>
      <x:c r="E31" s="4" t="s">
        <x:v>32</x:v>
      </x:c>
      <x:c r="F31" s="4" t="s">
        <x:v>33</x:v>
      </x:c>
      <x:c r="G31" s="4" t="s">
        <x:v>34</x:v>
      </x:c>
      <x:c r="H31" s="4" t="s">
        <x:v>35</x:v>
      </x:c>
      <x:c r="I31" s="4" t="s">
        <x:v>226</x:v>
      </x:c>
      <x:c r="J31" s="4" t="s">
        <x:v>37</x:v>
      </x:c>
      <x:c r="K31" s="4" t="s">
        <x:v>79</x:v>
      </x:c>
      <x:c r="L31" s="4" t="s">
        <x:v>227</x:v>
      </x:c>
      <x:c r="M31" s="4" t="s">
        <x:v>228</x:v>
      </x:c>
      <x:c r="N31" s="4" t="s">
        <x:v>229</x:v>
      </x:c>
      <x:c r="O31" s="4" t="s">
        <x:v>42</x:v>
      </x:c>
      <x:c r="P31" s="4"/>
      <x:c r="Q31" s="4" t="s">
        <x:v>230</x:v>
      </x:c>
      <x:c r="R31" s="6" t="s">
        <x:v>84</x:v>
      </x:c>
      <x:c r="S31" s="4"/>
      <x:c r="T31" s="4"/>
      <x:c r="U31" s="6"/>
      <x:c r="V31" s="4" t="s">
        <x:v>45</x:v>
      </x:c>
      <x:c r="W31" s="4" t="s">
        <x:v>46</x:v>
      </x:c>
      <x:c r="X31" s="4"/>
      <x:c r="Y31" s="4"/>
      <x:c r="Z31" s="4"/>
    </x:row>
    <x:row r="32" customFormat="false" ht="78" hidden="false" customHeight="true" outlineLevel="0" collapsed="false">
      <x:c r="A32" s="4" t="s">
        <x:v>28</x:v>
      </x:c>
      <x:c r="B32" s="5" t="s">
        <x:v>231</x:v>
      </x:c>
      <x:c r="C32" s="4" t="s">
        <x:v>232</x:v>
      </x:c>
      <x:c r="D32" s="4" t="s">
        <x:v>31</x:v>
      </x:c>
      <x:c r="E32" s="4" t="s">
        <x:v>233</x:v>
      </x:c>
      <x:c r="F32" s="4" t="s">
        <x:v>33</x:v>
      </x:c>
      <x:c r="G32" s="4" t="s">
        <x:v>234</x:v>
      </x:c>
      <x:c r="H32" s="4" t="s">
        <x:v>95</x:v>
      </x:c>
      <x:c r="I32" s="4" t="s">
        <x:v>235</x:v>
      </x:c>
      <x:c r="J32" s="4" t="s">
        <x:v>37</x:v>
      </x:c>
      <x:c r="K32" s="4" t="s">
        <x:v>236</x:v>
      </x:c>
      <x:c r="L32" s="4" t="s">
        <x:v>237</x:v>
      </x:c>
      <x:c r="M32" s="4" t="s">
        <x:v>238</x:v>
      </x:c>
      <x:c r="N32" s="4" t="s">
        <x:v>239</x:v>
      </x:c>
      <x:c r="O32" s="4" t="s">
        <x:v>42</x:v>
      </x:c>
      <x:c r="P32" s="4"/>
      <x:c r="Q32" s="4" t="s">
        <x:v>240</x:v>
      </x:c>
      <x:c r="R32" s="6" t="s">
        <x:v>241</x:v>
      </x:c>
      <x:c r="S32" s="4" t="s">
        <x:v>79</x:v>
      </x:c>
      <x:c r="T32" s="4" t="s">
        <x:v>242</x:v>
      </x:c>
      <x:c r="U32" s="6" t="s">
        <x:v>84</x:v>
      </x:c>
      <x:c r="V32" s="4" t="s">
        <x:v>45</x:v>
      </x:c>
      <x:c r="W32" s="4" t="s">
        <x:v>46</x:v>
      </x:c>
      <x:c r="X32" s="4"/>
      <x:c r="Y32" s="4"/>
      <x:c r="Z32" s="4"/>
    </x:row>
    <x:row r="33" customFormat="false" ht="78" hidden="false" customHeight="true" outlineLevel="0" collapsed="false">
      <x:c r="A33" s="4" t="s">
        <x:v>28</x:v>
      </x:c>
      <x:c r="B33" s="5" t="s">
        <x:v>243</x:v>
      </x:c>
      <x:c r="C33" s="4" t="s">
        <x:v>232</x:v>
      </x:c>
      <x:c r="D33" s="4" t="s">
        <x:v>31</x:v>
      </x:c>
      <x:c r="E33" s="4" t="s">
        <x:v>233</x:v>
      </x:c>
      <x:c r="F33" s="4" t="s">
        <x:v>33</x:v>
      </x:c>
      <x:c r="G33" s="4" t="s">
        <x:v>234</x:v>
      </x:c>
      <x:c r="H33" s="4" t="s">
        <x:v>95</x:v>
      </x:c>
      <x:c r="I33" s="4" t="s">
        <x:v>244</x:v>
      </x:c>
      <x:c r="J33" s="4" t="s">
        <x:v>37</x:v>
      </x:c>
      <x:c r="K33" s="4" t="s">
        <x:v>38</x:v>
      </x:c>
      <x:c r="L33" s="4" t="s">
        <x:v>245</x:v>
      </x:c>
      <x:c r="M33" s="4" t="s">
        <x:v>246</x:v>
      </x:c>
      <x:c r="N33" s="4" t="s">
        <x:v>247</x:v>
      </x:c>
      <x:c r="O33" s="4" t="s">
        <x:v>42</x:v>
      </x:c>
      <x:c r="P33" s="4"/>
      <x:c r="Q33" s="4" t="s">
        <x:v>248</x:v>
      </x:c>
      <x:c r="R33" s="6" t="s">
        <x:v>44</x:v>
      </x:c>
      <x:c r="S33" s="4" t="s">
        <x:v>236</x:v>
      </x:c>
      <x:c r="T33" s="4" t="s">
        <x:v>249</x:v>
      </x:c>
      <x:c r="U33" s="6" t="s">
        <x:v>250</x:v>
      </x:c>
      <x:c r="V33" s="4" t="s">
        <x:v>45</x:v>
      </x:c>
      <x:c r="W33" s="4" t="s">
        <x:v>46</x:v>
      </x:c>
      <x:c r="X33" s="4"/>
      <x:c r="Y33" s="4"/>
      <x:c r="Z33" s="4"/>
    </x:row>
    <x:row r="34" customFormat="false" ht="78" hidden="false" customHeight="true" outlineLevel="0" collapsed="false">
      <x:c r="A34" s="4" t="s">
        <x:v>28</x:v>
      </x:c>
      <x:c r="B34" s="5" t="s">
        <x:v>251</x:v>
      </x:c>
      <x:c r="C34" s="4" t="s">
        <x:v>232</x:v>
      </x:c>
      <x:c r="D34" s="4" t="s">
        <x:v>31</x:v>
      </x:c>
      <x:c r="E34" s="4" t="s">
        <x:v>233</x:v>
      </x:c>
      <x:c r="F34" s="4" t="s">
        <x:v>33</x:v>
      </x:c>
      <x:c r="G34" s="4" t="s">
        <x:v>234</x:v>
      </x:c>
      <x:c r="H34" s="4" t="s">
        <x:v>95</x:v>
      </x:c>
      <x:c r="I34" s="4" t="s">
        <x:v>252</x:v>
      </x:c>
      <x:c r="J34" s="4" t="s">
        <x:v>37</x:v>
      </x:c>
      <x:c r="K34" s="4" t="s">
        <x:v>253</x:v>
      </x:c>
      <x:c r="L34" s="4" t="s">
        <x:v>254</x:v>
      </x:c>
      <x:c r="M34" s="4" t="s">
        <x:v>255</x:v>
      </x:c>
      <x:c r="N34" s="4" t="s">
        <x:v>256</x:v>
      </x:c>
      <x:c r="O34" s="4" t="s">
        <x:v>42</x:v>
      </x:c>
      <x:c r="P34" s="4"/>
      <x:c r="Q34" s="4" t="s">
        <x:v>257</x:v>
      </x:c>
      <x:c r="R34" s="6" t="s">
        <x:v>258</x:v>
      </x:c>
      <x:c r="S34" s="4" t="s">
        <x:v>259</x:v>
      </x:c>
      <x:c r="T34" s="4" t="s">
        <x:v>260</x:v>
      </x:c>
      <x:c r="U34" s="6" t="s">
        <x:v>261</x:v>
      </x:c>
      <x:c r="V34" s="4" t="s">
        <x:v>45</x:v>
      </x:c>
      <x:c r="W34" s="4" t="s">
        <x:v>46</x:v>
      </x:c>
      <x:c r="X34" s="4"/>
      <x:c r="Y34" s="4"/>
      <x:c r="Z34" s="4"/>
    </x:row>
    <x:row r="35" customFormat="false" ht="78" hidden="false" customHeight="true" outlineLevel="0" collapsed="false">
      <x:c r="A35" s="4" t="s">
        <x:v>28</x:v>
      </x:c>
      <x:c r="B35" s="5" t="s">
        <x:v>262</x:v>
      </x:c>
      <x:c r="C35" s="4" t="s">
        <x:v>232</x:v>
      </x:c>
      <x:c r="D35" s="4" t="s">
        <x:v>31</x:v>
      </x:c>
      <x:c r="E35" s="4" t="s">
        <x:v>233</x:v>
      </x:c>
      <x:c r="F35" s="4" t="s">
        <x:v>33</x:v>
      </x:c>
      <x:c r="G35" s="4" t="s">
        <x:v>234</x:v>
      </x:c>
      <x:c r="H35" s="4" t="s">
        <x:v>95</x:v>
      </x:c>
      <x:c r="I35" s="4" t="s">
        <x:v>263</x:v>
      </x:c>
      <x:c r="J35" s="4" t="s">
        <x:v>37</x:v>
      </x:c>
      <x:c r="K35" s="4" t="s">
        <x:v>236</x:v>
      </x:c>
      <x:c r="L35" s="4" t="s">
        <x:v>264</x:v>
      </x:c>
      <x:c r="M35" s="4" t="s">
        <x:v>265</x:v>
      </x:c>
      <x:c r="N35" s="4" t="s">
        <x:v>266</x:v>
      </x:c>
      <x:c r="O35" s="4" t="s">
        <x:v>42</x:v>
      </x:c>
      <x:c r="P35" s="4"/>
      <x:c r="Q35" s="4" t="s">
        <x:v>267</x:v>
      </x:c>
      <x:c r="R35" s="6" t="s">
        <x:v>268</x:v>
      </x:c>
      <x:c r="S35" s="4" t="s">
        <x:v>38</x:v>
      </x:c>
      <x:c r="T35" s="4" t="s">
        <x:v>269</x:v>
      </x:c>
      <x:c r="U35" s="6" t="s">
        <x:v>44</x:v>
      </x:c>
      <x:c r="V35" s="4" t="s">
        <x:v>45</x:v>
      </x:c>
      <x:c r="W35" s="4" t="s">
        <x:v>46</x:v>
      </x:c>
      <x:c r="X35" s="4"/>
      <x:c r="Y35" s="4"/>
      <x:c r="Z35" s="4"/>
    </x:row>
    <x:row r="36" customFormat="false" ht="78" hidden="false" customHeight="true" outlineLevel="0" collapsed="false">
      <x:c r="A36" s="4" t="s">
        <x:v>28</x:v>
      </x:c>
      <x:c r="B36" s="5" t="s">
        <x:v>270</x:v>
      </x:c>
      <x:c r="C36" s="4" t="s">
        <x:v>232</x:v>
      </x:c>
      <x:c r="D36" s="4" t="s">
        <x:v>31</x:v>
      </x:c>
      <x:c r="E36" s="4" t="s">
        <x:v>233</x:v>
      </x:c>
      <x:c r="F36" s="4" t="s">
        <x:v>33</x:v>
      </x:c>
      <x:c r="G36" s="4" t="s">
        <x:v>234</x:v>
      </x:c>
      <x:c r="H36" s="4" t="s">
        <x:v>95</x:v>
      </x:c>
      <x:c r="I36" s="4" t="s">
        <x:v>271</x:v>
      </x:c>
      <x:c r="J36" s="4" t="s">
        <x:v>37</x:v>
      </x:c>
      <x:c r="K36" s="4" t="s">
        <x:v>253</x:v>
      </x:c>
      <x:c r="L36" s="4" t="s">
        <x:v>272</x:v>
      </x:c>
      <x:c r="M36" s="4" t="s">
        <x:v>273</x:v>
      </x:c>
      <x:c r="N36" s="4" t="s">
        <x:v>274</x:v>
      </x:c>
      <x:c r="O36" s="4" t="s">
        <x:v>42</x:v>
      </x:c>
      <x:c r="P36" s="4"/>
      <x:c r="Q36" s="4" t="s">
        <x:v>275</x:v>
      </x:c>
      <x:c r="R36" s="6" t="s">
        <x:v>258</x:v>
      </x:c>
      <x:c r="S36" s="4"/>
      <x:c r="T36" s="4"/>
      <x:c r="U36" s="6"/>
      <x:c r="V36" s="4" t="s">
        <x:v>45</x:v>
      </x:c>
      <x:c r="W36" s="4" t="s">
        <x:v>46</x:v>
      </x:c>
      <x:c r="X36" s="4"/>
      <x:c r="Y36" s="4"/>
      <x:c r="Z36" s="4"/>
    </x:row>
    <x:row r="37" customFormat="false" ht="78" hidden="false" customHeight="true" outlineLevel="0" collapsed="false">
      <x:c r="A37" s="4" t="s">
        <x:v>28</x:v>
      </x:c>
      <x:c r="B37" s="5" t="s">
        <x:v>276</x:v>
      </x:c>
      <x:c r="C37" s="4" t="s">
        <x:v>232</x:v>
      </x:c>
      <x:c r="D37" s="4" t="s">
        <x:v>31</x:v>
      </x:c>
      <x:c r="E37" s="4" t="s">
        <x:v>32</x:v>
      </x:c>
      <x:c r="F37" s="4" t="s">
        <x:v>33</x:v>
      </x:c>
      <x:c r="G37" s="4" t="s">
        <x:v>34</x:v>
      </x:c>
      <x:c r="H37" s="4" t="s">
        <x:v>35</x:v>
      </x:c>
      <x:c r="I37" s="4" t="s">
        <x:v>277</x:v>
      </x:c>
      <x:c r="J37" s="4" t="s">
        <x:v>37</x:v>
      </x:c>
      <x:c r="K37" s="4" t="s">
        <x:v>278</x:v>
      </x:c>
      <x:c r="L37" s="4" t="s">
        <x:v>279</x:v>
      </x:c>
      <x:c r="M37" s="4" t="s">
        <x:v>280</x:v>
      </x:c>
      <x:c r="N37" s="4" t="s">
        <x:v>281</x:v>
      </x:c>
      <x:c r="O37" s="4" t="s">
        <x:v>42</x:v>
      </x:c>
      <x:c r="P37" s="4"/>
      <x:c r="Q37" s="4" t="s">
        <x:v>282</x:v>
      </x:c>
      <x:c r="R37" s="6" t="s">
        <x:v>283</x:v>
      </x:c>
      <x:c r="S37" s="4"/>
      <x:c r="T37" s="4"/>
      <x:c r="U37" s="6"/>
      <x:c r="V37" s="4" t="s">
        <x:v>45</x:v>
      </x:c>
      <x:c r="W37" s="4" t="s">
        <x:v>46</x:v>
      </x:c>
      <x:c r="X37" s="4"/>
      <x:c r="Y37" s="4"/>
      <x:c r="Z37" s="4"/>
    </x:row>
    <x:row r="38" customFormat="false" ht="78" hidden="false" customHeight="true" outlineLevel="0" collapsed="false">
      <x:c r="A38" s="4" t="s">
        <x:v>28</x:v>
      </x:c>
      <x:c r="B38" s="5" t="s">
        <x:v>284</x:v>
      </x:c>
      <x:c r="C38" s="4" t="s">
        <x:v>232</x:v>
      </x:c>
      <x:c r="D38" s="4" t="s">
        <x:v>31</x:v>
      </x:c>
      <x:c r="E38" s="4" t="s">
        <x:v>233</x:v>
      </x:c>
      <x:c r="F38" s="4" t="s">
        <x:v>33</x:v>
      </x:c>
      <x:c r="G38" s="4" t="s">
        <x:v>234</x:v>
      </x:c>
      <x:c r="H38" s="4" t="s">
        <x:v>95</x:v>
      </x:c>
      <x:c r="I38" s="4" t="s">
        <x:v>285</x:v>
      </x:c>
      <x:c r="J38" s="4" t="s">
        <x:v>37</x:v>
      </x:c>
      <x:c r="K38" s="4" t="s">
        <x:v>278</x:v>
      </x:c>
      <x:c r="L38" s="4" t="s">
        <x:v>286</x:v>
      </x:c>
      <x:c r="M38" s="4" t="s">
        <x:v>287</x:v>
      </x:c>
      <x:c r="N38" s="4" t="s">
        <x:v>288</x:v>
      </x:c>
      <x:c r="O38" s="4" t="s">
        <x:v>42</x:v>
      </x:c>
      <x:c r="P38" s="4"/>
      <x:c r="Q38" s="4" t="s">
        <x:v>289</x:v>
      </x:c>
      <x:c r="R38" s="6" t="s">
        <x:v>283</x:v>
      </x:c>
      <x:c r="S38" s="4"/>
      <x:c r="T38" s="4"/>
      <x:c r="U38" s="6"/>
      <x:c r="V38" s="4" t="s">
        <x:v>45</x:v>
      </x:c>
      <x:c r="W38" s="4" t="s">
        <x:v>46</x:v>
      </x:c>
      <x:c r="X38" s="4"/>
      <x:c r="Y38" s="4"/>
      <x:c r="Z38" s="4"/>
    </x:row>
    <x:row r="39" customFormat="false" ht="78" hidden="false" customHeight="true" outlineLevel="0" collapsed="false">
      <x:c r="A39" s="4" t="s">
        <x:v>28</x:v>
      </x:c>
      <x:c r="B39" s="5" t="s">
        <x:v>290</x:v>
      </x:c>
      <x:c r="C39" s="4" t="s">
        <x:v>232</x:v>
      </x:c>
      <x:c r="D39" s="4" t="s">
        <x:v>31</x:v>
      </x:c>
      <x:c r="E39" s="4" t="s">
        <x:v>32</x:v>
      </x:c>
      <x:c r="F39" s="4" t="s">
        <x:v>33</x:v>
      </x:c>
      <x:c r="G39" s="4" t="s">
        <x:v>34</x:v>
      </x:c>
      <x:c r="H39" s="4" t="s">
        <x:v>35</x:v>
      </x:c>
      <x:c r="I39" s="4" t="s">
        <x:v>291</x:v>
      </x:c>
      <x:c r="J39" s="4" t="s">
        <x:v>37</x:v>
      </x:c>
      <x:c r="K39" s="4" t="s">
        <x:v>278</x:v>
      </x:c>
      <x:c r="L39" s="4" t="s">
        <x:v>292</x:v>
      </x:c>
      <x:c r="M39" s="4" t="s">
        <x:v>293</x:v>
      </x:c>
      <x:c r="N39" s="4" t="s">
        <x:v>294</x:v>
      </x:c>
      <x:c r="O39" s="4" t="s">
        <x:v>42</x:v>
      </x:c>
      <x:c r="P39" s="4"/>
      <x:c r="Q39" s="4" t="s">
        <x:v>295</x:v>
      </x:c>
      <x:c r="R39" s="6" t="s">
        <x:v>283</x:v>
      </x:c>
      <x:c r="S39" s="4"/>
      <x:c r="T39" s="4"/>
      <x:c r="U39" s="6"/>
      <x:c r="V39" s="4" t="s">
        <x:v>45</x:v>
      </x:c>
      <x:c r="W39" s="4" t="s">
        <x:v>46</x:v>
      </x:c>
      <x:c r="X39" s="4"/>
      <x:c r="Y39" s="4"/>
      <x:c r="Z39" s="4"/>
    </x:row>
    <x:row r="40" customFormat="false" ht="78" hidden="false" customHeight="true" outlineLevel="0" collapsed="false">
      <x:c r="A40" s="4" t="s">
        <x:v>28</x:v>
      </x:c>
      <x:c r="B40" s="5" t="s">
        <x:v>296</x:v>
      </x:c>
      <x:c r="C40" s="4" t="s">
        <x:v>232</x:v>
      </x:c>
      <x:c r="D40" s="4" t="s">
        <x:v>31</x:v>
      </x:c>
      <x:c r="E40" s="4" t="s">
        <x:v>32</x:v>
      </x:c>
      <x:c r="F40" s="4" t="s">
        <x:v>33</x:v>
      </x:c>
      <x:c r="G40" s="4" t="s">
        <x:v>34</x:v>
      </x:c>
      <x:c r="H40" s="4" t="s">
        <x:v>35</x:v>
      </x:c>
      <x:c r="I40" s="4" t="s">
        <x:v>297</x:v>
      </x:c>
      <x:c r="J40" s="4" t="s">
        <x:v>37</x:v>
      </x:c>
      <x:c r="K40" s="4" t="s">
        <x:v>278</x:v>
      </x:c>
      <x:c r="L40" s="4" t="s">
        <x:v>298</x:v>
      </x:c>
      <x:c r="M40" s="4" t="s">
        <x:v>299</x:v>
      </x:c>
      <x:c r="N40" s="4" t="s">
        <x:v>300</x:v>
      </x:c>
      <x:c r="O40" s="4" t="s">
        <x:v>42</x:v>
      </x:c>
      <x:c r="P40" s="4"/>
      <x:c r="Q40" s="4" t="s">
        <x:v>301</x:v>
      </x:c>
      <x:c r="R40" s="6" t="s">
        <x:v>283</x:v>
      </x:c>
      <x:c r="S40" s="4" t="s">
        <x:v>79</x:v>
      </x:c>
      <x:c r="T40" s="4" t="s">
        <x:v>302</x:v>
      </x:c>
      <x:c r="U40" s="6" t="s">
        <x:v>84</x:v>
      </x:c>
      <x:c r="V40" s="4" t="s">
        <x:v>45</x:v>
      </x:c>
      <x:c r="W40" s="4" t="s">
        <x:v>46</x:v>
      </x:c>
      <x:c r="X40" s="4"/>
      <x:c r="Y40" s="4"/>
      <x:c r="Z40" s="4"/>
    </x:row>
    <x:row r="41" customFormat="false" ht="78" hidden="false" customHeight="true" outlineLevel="0" collapsed="false">
      <x:c r="A41" s="4" t="s">
        <x:v>28</x:v>
      </x:c>
      <x:c r="B41" s="5" t="s">
        <x:v>303</x:v>
      </x:c>
      <x:c r="C41" s="4" t="s">
        <x:v>232</x:v>
      </x:c>
      <x:c r="D41" s="4" t="s">
        <x:v>31</x:v>
      </x:c>
      <x:c r="E41" s="4" t="s">
        <x:v>110</x:v>
      </x:c>
      <x:c r="F41" s="4" t="s">
        <x:v>33</x:v>
      </x:c>
      <x:c r="G41" s="4" t="s">
        <x:v>111</x:v>
      </x:c>
      <x:c r="H41" s="4" t="s">
        <x:v>95</x:v>
      </x:c>
      <x:c r="I41" s="4" t="s">
        <x:v>304</x:v>
      </x:c>
      <x:c r="J41" s="4" t="s">
        <x:v>37</x:v>
      </x:c>
      <x:c r="K41" s="4" t="s">
        <x:v>305</x:v>
      </x:c>
      <x:c r="L41" s="4" t="s">
        <x:v>306</x:v>
      </x:c>
      <x:c r="M41" s="4" t="s">
        <x:v>307</x:v>
      </x:c>
      <x:c r="N41" s="4" t="s">
        <x:v>308</x:v>
      </x:c>
      <x:c r="O41" s="4" t="s">
        <x:v>42</x:v>
      </x:c>
      <x:c r="P41" s="4"/>
      <x:c r="Q41" s="4" t="s">
        <x:v>309</x:v>
      </x:c>
      <x:c r="R41" s="6" t="s">
        <x:v>310</x:v>
      </x:c>
      <x:c r="S41" s="4"/>
      <x:c r="T41" s="4"/>
      <x:c r="U41" s="6"/>
      <x:c r="V41" s="4" t="s">
        <x:v>45</x:v>
      </x:c>
      <x:c r="W41" s="4" t="s">
        <x:v>46</x:v>
      </x:c>
      <x:c r="X41" s="4"/>
      <x:c r="Y41" s="4"/>
      <x:c r="Z41" s="4"/>
    </x:row>
    <x:row r="42" customFormat="false" ht="78" hidden="false" customHeight="true" outlineLevel="0" collapsed="false">
      <x:c r="A42" s="4" t="s">
        <x:v>28</x:v>
      </x:c>
      <x:c r="B42" s="5" t="s">
        <x:v>311</x:v>
      </x:c>
      <x:c r="C42" s="4" t="s">
        <x:v>312</x:v>
      </x:c>
      <x:c r="D42" s="4" t="s">
        <x:v>31</x:v>
      </x:c>
      <x:c r="E42" s="4" t="s">
        <x:v>32</x:v>
      </x:c>
      <x:c r="F42" s="4" t="s">
        <x:v>33</x:v>
      </x:c>
      <x:c r="G42" s="4" t="s">
        <x:v>34</x:v>
      </x:c>
      <x:c r="H42" s="4" t="s">
        <x:v>35</x:v>
      </x:c>
      <x:c r="I42" s="4" t="s">
        <x:v>313</x:v>
      </x:c>
      <x:c r="J42" s="4" t="s">
        <x:v>37</x:v>
      </x:c>
      <x:c r="K42" s="4" t="s">
        <x:v>79</x:v>
      </x:c>
      <x:c r="L42" s="4" t="s">
        <x:v>314</x:v>
      </x:c>
      <x:c r="M42" s="4" t="s">
        <x:v>315</x:v>
      </x:c>
      <x:c r="N42" s="4" t="s">
        <x:v>316</x:v>
      </x:c>
      <x:c r="O42" s="4" t="s">
        <x:v>42</x:v>
      </x:c>
      <x:c r="P42" s="4"/>
      <x:c r="Q42" s="4" t="s">
        <x:v>317</x:v>
      </x:c>
      <x:c r="R42" s="6" t="s">
        <x:v>84</x:v>
      </x:c>
      <x:c r="S42" s="4"/>
      <x:c r="T42" s="4"/>
      <x:c r="U42" s="6"/>
      <x:c r="V42" s="4" t="s">
        <x:v>45</x:v>
      </x:c>
      <x:c r="W42" s="4" t="s">
        <x:v>46</x:v>
      </x:c>
      <x:c r="X42" s="4"/>
      <x:c r="Y42" s="4"/>
      <x:c r="Z42" s="4"/>
    </x:row>
    <x:row r="43" customFormat="false" ht="78" hidden="false" customHeight="true" outlineLevel="0" collapsed="false">
      <x:c r="A43" s="4" t="s">
        <x:v>28</x:v>
      </x:c>
      <x:c r="B43" s="5" t="s">
        <x:v>318</x:v>
      </x:c>
      <x:c r="C43" s="4" t="s">
        <x:v>312</x:v>
      </x:c>
      <x:c r="D43" s="4" t="s">
        <x:v>31</x:v>
      </x:c>
      <x:c r="E43" s="4" t="s">
        <x:v>32</x:v>
      </x:c>
      <x:c r="F43" s="4" t="s">
        <x:v>33</x:v>
      </x:c>
      <x:c r="G43" s="4" t="s">
        <x:v>34</x:v>
      </x:c>
      <x:c r="H43" s="4" t="s">
        <x:v>35</x:v>
      </x:c>
      <x:c r="I43" s="4" t="s">
        <x:v>319</x:v>
      </x:c>
      <x:c r="J43" s="4" t="s">
        <x:v>37</x:v>
      </x:c>
      <x:c r="K43" s="4" t="s">
        <x:v>79</x:v>
      </x:c>
      <x:c r="L43" s="4" t="s">
        <x:v>320</x:v>
      </x:c>
      <x:c r="M43" s="4" t="s">
        <x:v>321</x:v>
      </x:c>
      <x:c r="N43" s="4" t="s">
        <x:v>322</x:v>
      </x:c>
      <x:c r="O43" s="4" t="s">
        <x:v>42</x:v>
      </x:c>
      <x:c r="P43" s="4"/>
      <x:c r="Q43" s="4" t="s">
        <x:v>323</x:v>
      </x:c>
      <x:c r="R43" s="6" t="s">
        <x:v>84</x:v>
      </x:c>
      <x:c r="S43" s="4"/>
      <x:c r="T43" s="4"/>
      <x:c r="U43" s="6"/>
      <x:c r="V43" s="4" t="s">
        <x:v>45</x:v>
      </x:c>
      <x:c r="W43" s="4" t="s">
        <x:v>46</x:v>
      </x:c>
      <x:c r="X43" s="4"/>
      <x:c r="Y43" s="4"/>
      <x:c r="Z43" s="4"/>
    </x:row>
    <x:row r="44" customFormat="false" ht="78" hidden="false" customHeight="true" outlineLevel="0" collapsed="false">
      <x:c r="A44" s="4" t="s">
        <x:v>28</x:v>
      </x:c>
      <x:c r="B44" s="5" t="s">
        <x:v>324</x:v>
      </x:c>
      <x:c r="C44" s="4" t="s">
        <x:v>312</x:v>
      </x:c>
      <x:c r="D44" s="4" t="s">
        <x:v>31</x:v>
      </x:c>
      <x:c r="E44" s="4" t="s">
        <x:v>32</x:v>
      </x:c>
      <x:c r="F44" s="4" t="s">
        <x:v>33</x:v>
      </x:c>
      <x:c r="G44" s="4" t="s">
        <x:v>34</x:v>
      </x:c>
      <x:c r="H44" s="4" t="s">
        <x:v>35</x:v>
      </x:c>
      <x:c r="I44" s="4" t="s">
        <x:v>325</x:v>
      </x:c>
      <x:c r="J44" s="4" t="s">
        <x:v>37</x:v>
      </x:c>
      <x:c r="K44" s="4" t="s">
        <x:v>79</x:v>
      </x:c>
      <x:c r="L44" s="4" t="s">
        <x:v>320</x:v>
      </x:c>
      <x:c r="M44" s="4" t="s">
        <x:v>326</x:v>
      </x:c>
      <x:c r="N44" s="4" t="s">
        <x:v>327</x:v>
      </x:c>
      <x:c r="O44" s="4" t="s">
        <x:v>42</x:v>
      </x:c>
      <x:c r="P44" s="4"/>
      <x:c r="Q44" s="4" t="s">
        <x:v>328</x:v>
      </x:c>
      <x:c r="R44" s="6" t="s">
        <x:v>84</x:v>
      </x:c>
      <x:c r="S44" s="4"/>
      <x:c r="T44" s="4"/>
      <x:c r="U44" s="6"/>
      <x:c r="V44" s="4" t="s">
        <x:v>45</x:v>
      </x:c>
      <x:c r="W44" s="4" t="s">
        <x:v>46</x:v>
      </x:c>
      <x:c r="X44" s="4"/>
      <x:c r="Y44" s="4"/>
      <x:c r="Z44" s="4"/>
    </x:row>
    <x:row r="45" customFormat="false" ht="78" hidden="false" customHeight="true" outlineLevel="0" collapsed="false">
      <x:c r="A45" s="4" t="s">
        <x:v>28</x:v>
      </x:c>
      <x:c r="B45" s="5" t="s">
        <x:v>329</x:v>
      </x:c>
      <x:c r="C45" s="4" t="s">
        <x:v>312</x:v>
      </x:c>
      <x:c r="D45" s="4" t="s">
        <x:v>31</x:v>
      </x:c>
      <x:c r="E45" s="4" t="s">
        <x:v>233</x:v>
      </x:c>
      <x:c r="F45" s="4" t="s">
        <x:v>33</x:v>
      </x:c>
      <x:c r="G45" s="4" t="s">
        <x:v>234</x:v>
      </x:c>
      <x:c r="H45" s="4" t="s">
        <x:v>95</x:v>
      </x:c>
      <x:c r="I45" s="4" t="s">
        <x:v>330</x:v>
      </x:c>
      <x:c r="J45" s="4" t="s">
        <x:v>37</x:v>
      </x:c>
      <x:c r="K45" s="4" t="s">
        <x:v>259</x:v>
      </x:c>
      <x:c r="L45" s="4" t="s">
        <x:v>331</x:v>
      </x:c>
      <x:c r="M45" s="4" t="s">
        <x:v>332</x:v>
      </x:c>
      <x:c r="N45" s="4" t="s">
        <x:v>333</x:v>
      </x:c>
      <x:c r="O45" s="4" t="s">
        <x:v>42</x:v>
      </x:c>
      <x:c r="P45" s="4"/>
      <x:c r="Q45" s="4" t="s">
        <x:v>334</x:v>
      </x:c>
      <x:c r="R45" s="6" t="s">
        <x:v>335</x:v>
      </x:c>
      <x:c r="S45" s="4"/>
      <x:c r="T45" s="4"/>
      <x:c r="U45" s="6"/>
      <x:c r="V45" s="4" t="s">
        <x:v>45</x:v>
      </x:c>
      <x:c r="W45" s="4" t="s">
        <x:v>46</x:v>
      </x:c>
      <x:c r="X45" s="4"/>
      <x:c r="Y45" s="4"/>
      <x:c r="Z45" s="4"/>
    </x:row>
    <x:row r="46" customFormat="false" ht="78" hidden="false" customHeight="true" outlineLevel="0" collapsed="false">
      <x:c r="A46" s="4" t="s">
        <x:v>28</x:v>
      </x:c>
      <x:c r="B46" s="5" t="s">
        <x:v>336</x:v>
      </x:c>
      <x:c r="C46" s="4" t="s">
        <x:v>312</x:v>
      </x:c>
      <x:c r="D46" s="4" t="s">
        <x:v>31</x:v>
      </x:c>
      <x:c r="E46" s="4" t="s">
        <x:v>233</x:v>
      </x:c>
      <x:c r="F46" s="4" t="s">
        <x:v>33</x:v>
      </x:c>
      <x:c r="G46" s="4" t="s">
        <x:v>234</x:v>
      </x:c>
      <x:c r="H46" s="4" t="s">
        <x:v>95</x:v>
      </x:c>
      <x:c r="I46" s="4" t="s">
        <x:v>337</x:v>
      </x:c>
      <x:c r="J46" s="4" t="s">
        <x:v>338</x:v>
      </x:c>
      <x:c r="K46" s="4" t="s">
        <x:v>259</x:v>
      </x:c>
      <x:c r="L46" s="4" t="s">
        <x:v>339</x:v>
      </x:c>
      <x:c r="M46" s="4" t="s">
        <x:v>340</x:v>
      </x:c>
      <x:c r="N46" s="4" t="s">
        <x:v>341</x:v>
      </x:c>
      <x:c r="O46" s="4" t="s">
        <x:v>42</x:v>
      </x:c>
      <x:c r="P46" s="4"/>
      <x:c r="Q46" s="4" t="s">
        <x:v>342</x:v>
      </x:c>
      <x:c r="R46" s="6" t="s">
        <x:v>261</x:v>
      </x:c>
      <x:c r="S46" s="4" t="s">
        <x:v>79</x:v>
      </x:c>
      <x:c r="T46" s="4" t="s">
        <x:v>320</x:v>
      </x:c>
      <x:c r="U46" s="6" t="s">
        <x:v>84</x:v>
      </x:c>
      <x:c r="V46" s="4" t="s">
        <x:v>45</x:v>
      </x:c>
      <x:c r="W46" s="4" t="s">
        <x:v>46</x:v>
      </x:c>
      <x:c r="X46" s="4"/>
      <x:c r="Y46" s="4"/>
      <x:c r="Z46" s="4"/>
    </x:row>
    <x:row r="47" customFormat="false" ht="78" hidden="false" customHeight="true" outlineLevel="0" collapsed="false">
      <x:c r="A47" s="4" t="s">
        <x:v>28</x:v>
      </x:c>
      <x:c r="B47" s="5" t="s">
        <x:v>343</x:v>
      </x:c>
      <x:c r="C47" s="4" t="s">
        <x:v>312</x:v>
      </x:c>
      <x:c r="D47" s="4" t="s">
        <x:v>31</x:v>
      </x:c>
      <x:c r="E47" s="4" t="s">
        <x:v>32</x:v>
      </x:c>
      <x:c r="F47" s="4" t="s">
        <x:v>33</x:v>
      </x:c>
      <x:c r="G47" s="4" t="s">
        <x:v>34</x:v>
      </x:c>
      <x:c r="H47" s="4" t="s">
        <x:v>35</x:v>
      </x:c>
      <x:c r="I47" s="4" t="s">
        <x:v>344</x:v>
      </x:c>
      <x:c r="J47" s="4" t="s">
        <x:v>37</x:v>
      </x:c>
      <x:c r="K47" s="4" t="s">
        <x:v>61</x:v>
      </x:c>
      <x:c r="L47" s="4" t="s">
        <x:v>345</x:v>
      </x:c>
      <x:c r="M47" s="4" t="s">
        <x:v>346</x:v>
      </x:c>
      <x:c r="N47" s="4" t="s">
        <x:v>347</x:v>
      </x:c>
      <x:c r="O47" s="4" t="s">
        <x:v>42</x:v>
      </x:c>
      <x:c r="P47" s="4"/>
      <x:c r="Q47" s="4" t="s">
        <x:v>348</x:v>
      </x:c>
      <x:c r="R47" s="6" t="s">
        <x:v>349</x:v>
      </x:c>
      <x:c r="S47" s="4"/>
      <x:c r="T47" s="4"/>
      <x:c r="U47" s="6"/>
      <x:c r="V47" s="4" t="s">
        <x:v>45</x:v>
      </x:c>
      <x:c r="W47" s="4" t="s">
        <x:v>46</x:v>
      </x:c>
      <x:c r="X47" s="4"/>
      <x:c r="Y47" s="4"/>
      <x:c r="Z47" s="4"/>
    </x:row>
    <x:row r="48" customFormat="false" ht="78" hidden="false" customHeight="true" outlineLevel="0" collapsed="false">
      <x:c r="A48" s="4" t="s">
        <x:v>28</x:v>
      </x:c>
      <x:c r="B48" s="5" t="s">
        <x:v>350</x:v>
      </x:c>
      <x:c r="C48" s="4" t="s">
        <x:v>312</x:v>
      </x:c>
      <x:c r="D48" s="4" t="s">
        <x:v>31</x:v>
      </x:c>
      <x:c r="E48" s="4" t="s">
        <x:v>233</x:v>
      </x:c>
      <x:c r="F48" s="4" t="s">
        <x:v>33</x:v>
      </x:c>
      <x:c r="G48" s="4" t="s">
        <x:v>234</x:v>
      </x:c>
      <x:c r="H48" s="4" t="s">
        <x:v>95</x:v>
      </x:c>
      <x:c r="I48" s="4" t="s">
        <x:v>351</x:v>
      </x:c>
      <x:c r="J48" s="4" t="s">
        <x:v>37</x:v>
      </x:c>
      <x:c r="K48" s="4" t="s">
        <x:v>352</x:v>
      </x:c>
      <x:c r="L48" s="4" t="s">
        <x:v>353</x:v>
      </x:c>
      <x:c r="M48" s="4" t="s">
        <x:v>354</x:v>
      </x:c>
      <x:c r="N48" s="4" t="s">
        <x:v>355</x:v>
      </x:c>
      <x:c r="O48" s="4" t="s">
        <x:v>42</x:v>
      </x:c>
      <x:c r="P48" s="4"/>
      <x:c r="Q48" s="4" t="s">
        <x:v>356</x:v>
      </x:c>
      <x:c r="R48" s="6" t="s">
        <x:v>357</x:v>
      </x:c>
      <x:c r="S48" s="4"/>
      <x:c r="T48" s="4"/>
      <x:c r="U48" s="6"/>
      <x:c r="V48" s="4" t="s">
        <x:v>45</x:v>
      </x:c>
      <x:c r="W48" s="4" t="s">
        <x:v>46</x:v>
      </x:c>
      <x:c r="X48" s="4"/>
      <x:c r="Y48" s="4"/>
      <x:c r="Z48" s="4"/>
    </x:row>
    <x:row r="49" customFormat="false" ht="78" hidden="false" customHeight="true" outlineLevel="0" collapsed="false">
      <x:c r="A49" s="4" t="s">
        <x:v>28</x:v>
      </x:c>
      <x:c r="B49" s="5" t="s">
        <x:v>358</x:v>
      </x:c>
      <x:c r="C49" s="4" t="s">
        <x:v>312</x:v>
      </x:c>
      <x:c r="D49" s="4" t="s">
        <x:v>31</x:v>
      </x:c>
      <x:c r="E49" s="4" t="s">
        <x:v>32</x:v>
      </x:c>
      <x:c r="F49" s="4" t="s">
        <x:v>33</x:v>
      </x:c>
      <x:c r="G49" s="4" t="s">
        <x:v>34</x:v>
      </x:c>
      <x:c r="H49" s="4" t="s">
        <x:v>35</x:v>
      </x:c>
      <x:c r="I49" s="4" t="s">
        <x:v>359</x:v>
      </x:c>
      <x:c r="J49" s="4" t="s">
        <x:v>37</x:v>
      </x:c>
      <x:c r="K49" s="4" t="s">
        <x:v>61</x:v>
      </x:c>
      <x:c r="L49" s="4" t="s">
        <x:v>360</x:v>
      </x:c>
      <x:c r="M49" s="4" t="s">
        <x:v>361</x:v>
      </x:c>
      <x:c r="N49" s="4" t="s">
        <x:v>362</x:v>
      </x:c>
      <x:c r="O49" s="4" t="s">
        <x:v>42</x:v>
      </x:c>
      <x:c r="P49" s="4"/>
      <x:c r="Q49" s="4" t="s">
        <x:v>363</x:v>
      </x:c>
      <x:c r="R49" s="6" t="s">
        <x:v>364</x:v>
      </x:c>
      <x:c r="S49" s="4" t="s">
        <x:v>79</x:v>
      </x:c>
      <x:c r="T49" s="4" t="s">
        <x:v>365</x:v>
      </x:c>
      <x:c r="U49" s="6" t="s">
        <x:v>84</x:v>
      </x:c>
      <x:c r="V49" s="4" t="s">
        <x:v>45</x:v>
      </x:c>
      <x:c r="W49" s="4" t="s">
        <x:v>46</x:v>
      </x:c>
      <x:c r="X49" s="4"/>
      <x:c r="Y49" s="4"/>
      <x:c r="Z49" s="4"/>
    </x:row>
    <x:row r="50" customFormat="false" ht="78" hidden="false" customHeight="true" outlineLevel="0" collapsed="false">
      <x:c r="A50" s="4" t="s">
        <x:v>28</x:v>
      </x:c>
      <x:c r="B50" s="5" t="s">
        <x:v>366</x:v>
      </x:c>
      <x:c r="C50" s="4" t="s">
        <x:v>367</x:v>
      </x:c>
      <x:c r="D50" s="4" t="s">
        <x:v>31</x:v>
      </x:c>
      <x:c r="E50" s="4" t="s">
        <x:v>233</x:v>
      </x:c>
      <x:c r="F50" s="4" t="s">
        <x:v>33</x:v>
      </x:c>
      <x:c r="G50" s="4" t="s">
        <x:v>234</x:v>
      </x:c>
      <x:c r="H50" s="4" t="s">
        <x:v>95</x:v>
      </x:c>
      <x:c r="I50" s="4" t="s">
        <x:v>368</x:v>
      </x:c>
      <x:c r="J50" s="4" t="s">
        <x:v>37</x:v>
      </x:c>
      <x:c r="K50" s="4" t="s">
        <x:v>369</x:v>
      </x:c>
      <x:c r="L50" s="4" t="s">
        <x:v>370</x:v>
      </x:c>
      <x:c r="M50" s="4" t="s">
        <x:v>371</x:v>
      </x:c>
      <x:c r="N50" s="4" t="s">
        <x:v>372</x:v>
      </x:c>
      <x:c r="O50" s="4" t="s">
        <x:v>42</x:v>
      </x:c>
      <x:c r="P50" s="4"/>
      <x:c r="Q50" s="4" t="s">
        <x:v>373</x:v>
      </x:c>
      <x:c r="R50" s="6" t="s">
        <x:v>374</x:v>
      </x:c>
      <x:c r="S50" s="4" t="s">
        <x:v>375</x:v>
      </x:c>
      <x:c r="T50" s="4" t="s">
        <x:v>376</x:v>
      </x:c>
      <x:c r="U50" s="6" t="s">
        <x:v>377</x:v>
      </x:c>
      <x:c r="V50" s="4" t="s">
        <x:v>45</x:v>
      </x:c>
      <x:c r="W50" s="4" t="s">
        <x:v>46</x:v>
      </x:c>
      <x:c r="X50" s="4"/>
      <x:c r="Y50" s="4"/>
      <x:c r="Z50" s="4"/>
    </x:row>
    <x:row r="51" customFormat="false" ht="78" hidden="false" customHeight="true" outlineLevel="0" collapsed="false">
      <x:c r="A51" s="4" t="s">
        <x:v>28</x:v>
      </x:c>
      <x:c r="B51" s="5" t="s">
        <x:v>378</x:v>
      </x:c>
      <x:c r="C51" s="4" t="s">
        <x:v>367</x:v>
      </x:c>
      <x:c r="D51" s="4" t="s">
        <x:v>31</x:v>
      </x:c>
      <x:c r="E51" s="4" t="s">
        <x:v>32</x:v>
      </x:c>
      <x:c r="F51" s="4" t="s">
        <x:v>33</x:v>
      </x:c>
      <x:c r="G51" s="4" t="s">
        <x:v>34</x:v>
      </x:c>
      <x:c r="H51" s="4" t="s">
        <x:v>35</x:v>
      </x:c>
      <x:c r="I51" s="4" t="s">
        <x:v>379</x:v>
      </x:c>
      <x:c r="J51" s="4" t="s">
        <x:v>37</x:v>
      </x:c>
      <x:c r="K51" s="4" t="s">
        <x:v>369</x:v>
      </x:c>
      <x:c r="L51" s="4" t="s">
        <x:v>380</x:v>
      </x:c>
      <x:c r="M51" s="4" t="s">
        <x:v>381</x:v>
      </x:c>
      <x:c r="N51" s="4" t="s">
        <x:v>382</x:v>
      </x:c>
      <x:c r="O51" s="4" t="s">
        <x:v>42</x:v>
      </x:c>
      <x:c r="P51" s="4"/>
      <x:c r="Q51" s="4" t="s">
        <x:v>383</x:v>
      </x:c>
      <x:c r="R51" s="6" t="s">
        <x:v>374</x:v>
      </x:c>
      <x:c r="S51" s="4"/>
      <x:c r="T51" s="4"/>
      <x:c r="U51" s="6"/>
      <x:c r="V51" s="4" t="s">
        <x:v>45</x:v>
      </x:c>
      <x:c r="W51" s="4" t="s">
        <x:v>46</x:v>
      </x:c>
      <x:c r="X51" s="4"/>
      <x:c r="Y51" s="4"/>
      <x:c r="Z51" s="4"/>
    </x:row>
    <x:row r="52" customFormat="false" ht="78" hidden="false" customHeight="true" outlineLevel="0" collapsed="false">
      <x:c r="A52" s="4" t="s">
        <x:v>28</x:v>
      </x:c>
      <x:c r="B52" s="5" t="s">
        <x:v>384</x:v>
      </x:c>
      <x:c r="C52" s="4" t="s">
        <x:v>367</x:v>
      </x:c>
      <x:c r="D52" s="4" t="s">
        <x:v>31</x:v>
      </x:c>
      <x:c r="E52" s="4" t="s">
        <x:v>233</x:v>
      </x:c>
      <x:c r="F52" s="4" t="s">
        <x:v>33</x:v>
      </x:c>
      <x:c r="G52" s="4" t="s">
        <x:v>234</x:v>
      </x:c>
      <x:c r="H52" s="4" t="s">
        <x:v>95</x:v>
      </x:c>
      <x:c r="I52" s="4" t="s">
        <x:v>385</x:v>
      </x:c>
      <x:c r="J52" s="4" t="s">
        <x:v>338</x:v>
      </x:c>
      <x:c r="K52" s="4" t="s">
        <x:v>38</x:v>
      </x:c>
      <x:c r="L52" s="4" t="s">
        <x:v>386</x:v>
      </x:c>
      <x:c r="M52" s="4" t="s">
        <x:v>387</x:v>
      </x:c>
      <x:c r="N52" s="4" t="s">
        <x:v>388</x:v>
      </x:c>
      <x:c r="O52" s="4" t="s">
        <x:v>42</x:v>
      </x:c>
      <x:c r="P52" s="4"/>
      <x:c r="Q52" s="4" t="s">
        <x:v>389</x:v>
      </x:c>
      <x:c r="R52" s="6" t="s">
        <x:v>44</x:v>
      </x:c>
      <x:c r="S52" s="4" t="s">
        <x:v>61</x:v>
      </x:c>
      <x:c r="T52" s="4" t="s">
        <x:v>390</x:v>
      </x:c>
      <x:c r="U52" s="6" t="s">
        <x:v>391</x:v>
      </x:c>
      <x:c r="V52" s="4" t="s">
        <x:v>45</x:v>
      </x:c>
      <x:c r="W52" s="4" t="s">
        <x:v>46</x:v>
      </x:c>
      <x:c r="X52" s="4"/>
      <x:c r="Y52" s="4"/>
      <x:c r="Z52" s="4"/>
    </x:row>
    <x:row r="53" customFormat="false" ht="78" hidden="false" customHeight="true" outlineLevel="0" collapsed="false">
      <x:c r="A53" s="4" t="s">
        <x:v>28</x:v>
      </x:c>
      <x:c r="B53" s="5" t="s">
        <x:v>392</x:v>
      </x:c>
      <x:c r="C53" s="4" t="s">
        <x:v>367</x:v>
      </x:c>
      <x:c r="D53" s="4" t="s">
        <x:v>31</x:v>
      </x:c>
      <x:c r="E53" s="4" t="s">
        <x:v>32</x:v>
      </x:c>
      <x:c r="F53" s="4" t="s">
        <x:v>33</x:v>
      </x:c>
      <x:c r="G53" s="4" t="s">
        <x:v>34</x:v>
      </x:c>
      <x:c r="H53" s="4" t="s">
        <x:v>35</x:v>
      </x:c>
      <x:c r="I53" s="4" t="s">
        <x:v>393</x:v>
      </x:c>
      <x:c r="J53" s="4" t="s">
        <x:v>37</x:v>
      </x:c>
      <x:c r="K53" s="4" t="s">
        <x:v>369</x:v>
      </x:c>
      <x:c r="L53" s="4" t="s">
        <x:v>380</x:v>
      </x:c>
      <x:c r="M53" s="4" t="s">
        <x:v>394</x:v>
      </x:c>
      <x:c r="N53" s="4" t="s">
        <x:v>395</x:v>
      </x:c>
      <x:c r="O53" s="4" t="s">
        <x:v>42</x:v>
      </x:c>
      <x:c r="P53" s="4"/>
      <x:c r="Q53" s="4" t="s">
        <x:v>396</x:v>
      </x:c>
      <x:c r="R53" s="6" t="s">
        <x:v>374</x:v>
      </x:c>
      <x:c r="S53" s="4"/>
      <x:c r="T53" s="4"/>
      <x:c r="U53" s="6"/>
      <x:c r="V53" s="4" t="s">
        <x:v>45</x:v>
      </x:c>
      <x:c r="W53" s="4" t="s">
        <x:v>46</x:v>
      </x:c>
      <x:c r="X53" s="4"/>
      <x:c r="Y53" s="4"/>
      <x:c r="Z53" s="4"/>
    </x:row>
    <x:row r="54" customFormat="false" ht="78" hidden="false" customHeight="true" outlineLevel="0" collapsed="false">
      <x:c r="A54" s="4" t="s">
        <x:v>28</x:v>
      </x:c>
      <x:c r="B54" s="5" t="s">
        <x:v>397</x:v>
      </x:c>
      <x:c r="C54" s="4" t="s">
        <x:v>367</x:v>
      </x:c>
      <x:c r="D54" s="4" t="s">
        <x:v>31</x:v>
      </x:c>
      <x:c r="E54" s="4" t="s">
        <x:v>32</x:v>
      </x:c>
      <x:c r="F54" s="4" t="s">
        <x:v>33</x:v>
      </x:c>
      <x:c r="G54" s="4" t="s">
        <x:v>34</x:v>
      </x:c>
      <x:c r="H54" s="4" t="s">
        <x:v>35</x:v>
      </x:c>
      <x:c r="I54" s="4" t="s">
        <x:v>398</x:v>
      </x:c>
      <x:c r="J54" s="4" t="s">
        <x:v>37</x:v>
      </x:c>
      <x:c r="K54" s="4" t="s">
        <x:v>79</x:v>
      </x:c>
      <x:c r="L54" s="4" t="s">
        <x:v>399</x:v>
      </x:c>
      <x:c r="M54" s="4" t="s">
        <x:v>400</x:v>
      </x:c>
      <x:c r="N54" s="4" t="s">
        <x:v>401</x:v>
      </x:c>
      <x:c r="O54" s="4" t="s">
        <x:v>42</x:v>
      </x:c>
      <x:c r="P54" s="4"/>
      <x:c r="Q54" s="4" t="s">
        <x:v>402</x:v>
      </x:c>
      <x:c r="R54" s="6" t="s">
        <x:v>84</x:v>
      </x:c>
      <x:c r="S54" s="4" t="s">
        <x:v>38</x:v>
      </x:c>
      <x:c r="T54" s="4" t="s">
        <x:v>403</x:v>
      </x:c>
      <x:c r="U54" s="6" t="s">
        <x:v>44</x:v>
      </x:c>
      <x:c r="V54" s="4" t="s">
        <x:v>45</x:v>
      </x:c>
      <x:c r="W54" s="4" t="s">
        <x:v>46</x:v>
      </x:c>
      <x:c r="X54" s="4"/>
      <x:c r="Y54" s="4"/>
      <x:c r="Z54" s="4"/>
    </x:row>
    <x:row r="55" customFormat="false" ht="78" hidden="false" customHeight="true" outlineLevel="0" collapsed="false">
      <x:c r="A55" s="4" t="s">
        <x:v>28</x:v>
      </x:c>
      <x:c r="B55" s="5" t="s">
        <x:v>404</x:v>
      </x:c>
      <x:c r="C55" s="4" t="s">
        <x:v>367</x:v>
      </x:c>
      <x:c r="D55" s="4" t="s">
        <x:v>31</x:v>
      </x:c>
      <x:c r="E55" s="4" t="s">
        <x:v>233</x:v>
      </x:c>
      <x:c r="F55" s="4" t="s">
        <x:v>33</x:v>
      </x:c>
      <x:c r="G55" s="4" t="s">
        <x:v>234</x:v>
      </x:c>
      <x:c r="H55" s="4" t="s">
        <x:v>95</x:v>
      </x:c>
      <x:c r="I55" s="4" t="s">
        <x:v>405</x:v>
      </x:c>
      <x:c r="J55" s="4" t="s">
        <x:v>37</x:v>
      </x:c>
      <x:c r="K55" s="4" t="s">
        <x:v>406</x:v>
      </x:c>
      <x:c r="L55" s="4" t="s">
        <x:v>407</x:v>
      </x:c>
      <x:c r="M55" s="4" t="s">
        <x:v>408</x:v>
      </x:c>
      <x:c r="N55" s="4" t="s">
        <x:v>409</x:v>
      </x:c>
      <x:c r="O55" s="4" t="s">
        <x:v>42</x:v>
      </x:c>
      <x:c r="P55" s="4"/>
      <x:c r="Q55" s="4" t="s">
        <x:v>410</x:v>
      </x:c>
      <x:c r="R55" s="6" t="s">
        <x:v>411</x:v>
      </x:c>
      <x:c r="S55" s="4"/>
      <x:c r="T55" s="4"/>
      <x:c r="U55" s="6"/>
      <x:c r="V55" s="4" t="s">
        <x:v>45</x:v>
      </x:c>
      <x:c r="W55" s="4" t="s">
        <x:v>46</x:v>
      </x:c>
      <x:c r="X55" s="4"/>
      <x:c r="Y55" s="4"/>
      <x:c r="Z55" s="4"/>
    </x:row>
    <x:row r="56" customFormat="false" ht="78" hidden="false" customHeight="true" outlineLevel="0" collapsed="false">
      <x:c r="A56" s="4" t="s">
        <x:v>28</x:v>
      </x:c>
      <x:c r="B56" s="5" t="s">
        <x:v>412</x:v>
      </x:c>
      <x:c r="C56" s="4" t="s">
        <x:v>413</x:v>
      </x:c>
      <x:c r="D56" s="4" t="s">
        <x:v>31</x:v>
      </x:c>
      <x:c r="E56" s="4" t="s">
        <x:v>32</x:v>
      </x:c>
      <x:c r="F56" s="4" t="s">
        <x:v>33</x:v>
      </x:c>
      <x:c r="G56" s="4" t="s">
        <x:v>34</x:v>
      </x:c>
      <x:c r="H56" s="4" t="s">
        <x:v>35</x:v>
      </x:c>
      <x:c r="I56" s="4" t="s">
        <x:v>414</x:v>
      </x:c>
      <x:c r="J56" s="4" t="s">
        <x:v>37</x:v>
      </x:c>
      <x:c r="K56" s="4" t="s">
        <x:v>79</x:v>
      </x:c>
      <x:c r="L56" s="4" t="s">
        <x:v>415</x:v>
      </x:c>
      <x:c r="M56" s="4" t="s">
        <x:v>416</x:v>
      </x:c>
      <x:c r="N56" s="4" t="s">
        <x:v>417</x:v>
      </x:c>
      <x:c r="O56" s="4" t="s">
        <x:v>42</x:v>
      </x:c>
      <x:c r="P56" s="4"/>
      <x:c r="Q56" s="4" t="s">
        <x:v>418</x:v>
      </x:c>
      <x:c r="R56" s="6" t="s">
        <x:v>84</x:v>
      </x:c>
      <x:c r="S56" s="4"/>
      <x:c r="T56" s="4"/>
      <x:c r="U56" s="6"/>
      <x:c r="V56" s="4" t="s">
        <x:v>45</x:v>
      </x:c>
      <x:c r="W56" s="4" t="s">
        <x:v>46</x:v>
      </x:c>
      <x:c r="X56" s="4"/>
      <x:c r="Y56" s="4"/>
      <x:c r="Z56" s="4"/>
    </x:row>
    <x:row r="57" customFormat="false" ht="78" hidden="false" customHeight="true" outlineLevel="0" collapsed="false">
      <x:c r="A57" s="4" t="s">
        <x:v>28</x:v>
      </x:c>
      <x:c r="B57" s="5" t="s">
        <x:v>419</x:v>
      </x:c>
      <x:c r="C57" s="4" t="s">
        <x:v>413</x:v>
      </x:c>
      <x:c r="D57" s="4" t="s">
        <x:v>31</x:v>
      </x:c>
      <x:c r="E57" s="4" t="s">
        <x:v>32</x:v>
      </x:c>
      <x:c r="F57" s="4" t="s">
        <x:v>33</x:v>
      </x:c>
      <x:c r="G57" s="4" t="s">
        <x:v>34</x:v>
      </x:c>
      <x:c r="H57" s="4" t="s">
        <x:v>35</x:v>
      </x:c>
      <x:c r="I57" s="4" t="s">
        <x:v>420</x:v>
      </x:c>
      <x:c r="J57" s="4" t="s">
        <x:v>37</x:v>
      </x:c>
      <x:c r="K57" s="4" t="s">
        <x:v>79</x:v>
      </x:c>
      <x:c r="L57" s="4" t="s">
        <x:v>415</x:v>
      </x:c>
      <x:c r="M57" s="4" t="s">
        <x:v>421</x:v>
      </x:c>
      <x:c r="N57" s="4" t="s">
        <x:v>422</x:v>
      </x:c>
      <x:c r="O57" s="4" t="s">
        <x:v>42</x:v>
      </x:c>
      <x:c r="P57" s="4"/>
      <x:c r="Q57" s="4" t="s">
        <x:v>423</x:v>
      </x:c>
      <x:c r="R57" s="6" t="s">
        <x:v>84</x:v>
      </x:c>
      <x:c r="S57" s="4"/>
      <x:c r="T57" s="4"/>
      <x:c r="U57" s="6"/>
      <x:c r="V57" s="4" t="s">
        <x:v>45</x:v>
      </x:c>
      <x:c r="W57" s="4" t="s">
        <x:v>46</x:v>
      </x:c>
      <x:c r="X57" s="4"/>
      <x:c r="Y57" s="4"/>
      <x:c r="Z57" s="4"/>
    </x:row>
    <x:row r="58" customFormat="false" ht="78" hidden="false" customHeight="true" outlineLevel="0" collapsed="false">
      <x:c r="A58" s="4" t="s">
        <x:v>28</x:v>
      </x:c>
      <x:c r="B58" s="5" t="s">
        <x:v>424</x:v>
      </x:c>
      <x:c r="C58" s="4" t="s">
        <x:v>413</x:v>
      </x:c>
      <x:c r="D58" s="4" t="s">
        <x:v>31</x:v>
      </x:c>
      <x:c r="E58" s="4" t="s">
        <x:v>233</x:v>
      </x:c>
      <x:c r="F58" s="4" t="s">
        <x:v>33</x:v>
      </x:c>
      <x:c r="G58" s="4" t="s">
        <x:v>234</x:v>
      </x:c>
      <x:c r="H58" s="4" t="s">
        <x:v>95</x:v>
      </x:c>
      <x:c r="I58" s="4" t="s">
        <x:v>425</x:v>
      </x:c>
      <x:c r="J58" s="4" t="s">
        <x:v>338</x:v>
      </x:c>
      <x:c r="K58" s="4" t="s">
        <x:v>79</x:v>
      </x:c>
      <x:c r="L58" s="4" t="s">
        <x:v>426</x:v>
      </x:c>
      <x:c r="M58" s="4" t="s">
        <x:v>427</x:v>
      </x:c>
      <x:c r="N58" s="4" t="s">
        <x:v>428</x:v>
      </x:c>
      <x:c r="O58" s="4" t="s">
        <x:v>42</x:v>
      </x:c>
      <x:c r="P58" s="4"/>
      <x:c r="Q58" s="4" t="s">
        <x:v>429</x:v>
      </x:c>
      <x:c r="R58" s="6" t="s">
        <x:v>84</x:v>
      </x:c>
      <x:c r="S58" s="4"/>
      <x:c r="T58" s="4"/>
      <x:c r="U58" s="6"/>
      <x:c r="V58" s="4" t="s">
        <x:v>45</x:v>
      </x:c>
      <x:c r="W58" s="4" t="s">
        <x:v>46</x:v>
      </x:c>
      <x:c r="X58" s="4"/>
      <x:c r="Y58" s="4"/>
      <x:c r="Z58" s="4"/>
    </x:row>
    <x:row r="59" customFormat="false" ht="78" hidden="false" customHeight="true" outlineLevel="0" collapsed="false">
      <x:c r="A59" s="4" t="s">
        <x:v>28</x:v>
      </x:c>
      <x:c r="B59" s="5" t="s">
        <x:v>430</x:v>
      </x:c>
      <x:c r="C59" s="4" t="s">
        <x:v>413</x:v>
      </x:c>
      <x:c r="D59" s="4" t="s">
        <x:v>31</x:v>
      </x:c>
      <x:c r="E59" s="4" t="s">
        <x:v>32</x:v>
      </x:c>
      <x:c r="F59" s="4" t="s">
        <x:v>33</x:v>
      </x:c>
      <x:c r="G59" s="4" t="s">
        <x:v>34</x:v>
      </x:c>
      <x:c r="H59" s="4" t="s">
        <x:v>35</x:v>
      </x:c>
      <x:c r="I59" s="4" t="s">
        <x:v>431</x:v>
      </x:c>
      <x:c r="J59" s="4" t="s">
        <x:v>37</x:v>
      </x:c>
      <x:c r="K59" s="4" t="s">
        <x:v>432</x:v>
      </x:c>
      <x:c r="L59" s="4" t="s">
        <x:v>433</x:v>
      </x:c>
      <x:c r="M59" s="4" t="s">
        <x:v>434</x:v>
      </x:c>
      <x:c r="N59" s="4" t="s">
        <x:v>435</x:v>
      </x:c>
      <x:c r="O59" s="4" t="s">
        <x:v>42</x:v>
      </x:c>
      <x:c r="P59" s="4"/>
      <x:c r="Q59" s="4" t="s">
        <x:v>436</x:v>
      </x:c>
      <x:c r="R59" s="6" t="s">
        <x:v>437</x:v>
      </x:c>
      <x:c r="S59" s="4"/>
      <x:c r="T59" s="4"/>
      <x:c r="U59" s="6"/>
      <x:c r="V59" s="4" t="s">
        <x:v>45</x:v>
      </x:c>
      <x:c r="W59" s="4" t="s">
        <x:v>46</x:v>
      </x:c>
      <x:c r="X59" s="4"/>
      <x:c r="Y59" s="4"/>
      <x:c r="Z59" s="4"/>
    </x:row>
    <x:row r="60" customFormat="false" ht="78" hidden="false" customHeight="true" outlineLevel="0" collapsed="false">
      <x:c r="A60" s="4" t="s">
        <x:v>28</x:v>
      </x:c>
      <x:c r="B60" s="5" t="s">
        <x:v>438</x:v>
      </x:c>
      <x:c r="C60" s="4" t="s">
        <x:v>413</x:v>
      </x:c>
      <x:c r="D60" s="4" t="s">
        <x:v>31</x:v>
      </x:c>
      <x:c r="E60" s="4" t="s">
        <x:v>233</x:v>
      </x:c>
      <x:c r="F60" s="4" t="s">
        <x:v>33</x:v>
      </x:c>
      <x:c r="G60" s="4" t="s">
        <x:v>234</x:v>
      </x:c>
      <x:c r="H60" s="4" t="s">
        <x:v>95</x:v>
      </x:c>
      <x:c r="I60" s="4" t="s">
        <x:v>439</x:v>
      </x:c>
      <x:c r="J60" s="4" t="s">
        <x:v>37</x:v>
      </x:c>
      <x:c r="K60" s="4" t="s">
        <x:v>38</x:v>
      </x:c>
      <x:c r="L60" s="4" t="s">
        <x:v>440</x:v>
      </x:c>
      <x:c r="M60" s="4" t="s">
        <x:v>441</x:v>
      </x:c>
      <x:c r="N60" s="4" t="s">
        <x:v>442</x:v>
      </x:c>
      <x:c r="O60" s="4" t="s">
        <x:v>42</x:v>
      </x:c>
      <x:c r="P60" s="4"/>
      <x:c r="Q60" s="4" t="s">
        <x:v>443</x:v>
      </x:c>
      <x:c r="R60" s="6" t="s">
        <x:v>44</x:v>
      </x:c>
      <x:c r="S60" s="4"/>
      <x:c r="T60" s="4"/>
      <x:c r="U60" s="6"/>
      <x:c r="V60" s="4" t="s">
        <x:v>45</x:v>
      </x:c>
      <x:c r="W60" s="4" t="s">
        <x:v>46</x:v>
      </x:c>
      <x:c r="X60" s="4"/>
      <x:c r="Y60" s="4"/>
      <x:c r="Z60" s="4"/>
    </x:row>
    <x:row r="61" customFormat="false" ht="78" hidden="false" customHeight="true" outlineLevel="0" collapsed="false">
      <x:c r="A61" s="4" t="s">
        <x:v>28</x:v>
      </x:c>
      <x:c r="B61" s="5" t="s">
        <x:v>444</x:v>
      </x:c>
      <x:c r="C61" s="4" t="s">
        <x:v>413</x:v>
      </x:c>
      <x:c r="D61" s="4" t="s">
        <x:v>31</x:v>
      </x:c>
      <x:c r="E61" s="4" t="s">
        <x:v>32</x:v>
      </x:c>
      <x:c r="F61" s="4" t="s">
        <x:v>33</x:v>
      </x:c>
      <x:c r="G61" s="4" t="s">
        <x:v>34</x:v>
      </x:c>
      <x:c r="H61" s="4" t="s">
        <x:v>35</x:v>
      </x:c>
      <x:c r="I61" s="4" t="s">
        <x:v>445</x:v>
      </x:c>
      <x:c r="J61" s="4" t="s">
        <x:v>37</x:v>
      </x:c>
      <x:c r="K61" s="4" t="s">
        <x:v>38</x:v>
      </x:c>
      <x:c r="L61" s="4" t="s">
        <x:v>446</x:v>
      </x:c>
      <x:c r="M61" s="4" t="s">
        <x:v>447</x:v>
      </x:c>
      <x:c r="N61" s="4" t="s">
        <x:v>448</x:v>
      </x:c>
      <x:c r="O61" s="4" t="s">
        <x:v>42</x:v>
      </x:c>
      <x:c r="P61" s="4"/>
      <x:c r="Q61" s="4" t="s">
        <x:v>449</x:v>
      </x:c>
      <x:c r="R61" s="6" t="s">
        <x:v>44</x:v>
      </x:c>
      <x:c r="S61" s="4"/>
      <x:c r="T61" s="4"/>
      <x:c r="U61" s="6"/>
      <x:c r="V61" s="4" t="s">
        <x:v>45</x:v>
      </x:c>
      <x:c r="W61" s="4" t="s">
        <x:v>46</x:v>
      </x:c>
      <x:c r="X61" s="4"/>
      <x:c r="Y61" s="4"/>
      <x:c r="Z61" s="4"/>
    </x:row>
    <x:row r="62" customFormat="false" ht="78" hidden="false" customHeight="true" outlineLevel="0" collapsed="false">
      <x:c r="A62" s="4" t="s">
        <x:v>28</x:v>
      </x:c>
      <x:c r="B62" s="5" t="s">
        <x:v>450</x:v>
      </x:c>
      <x:c r="C62" s="4" t="s">
        <x:v>413</x:v>
      </x:c>
      <x:c r="D62" s="4" t="s">
        <x:v>31</x:v>
      </x:c>
      <x:c r="E62" s="4" t="s">
        <x:v>32</x:v>
      </x:c>
      <x:c r="F62" s="4" t="s">
        <x:v>33</x:v>
      </x:c>
      <x:c r="G62" s="4" t="s">
        <x:v>34</x:v>
      </x:c>
      <x:c r="H62" s="4" t="s">
        <x:v>35</x:v>
      </x:c>
      <x:c r="I62" s="4" t="s">
        <x:v>451</x:v>
      </x:c>
      <x:c r="J62" s="4" t="s">
        <x:v>37</x:v>
      </x:c>
      <x:c r="K62" s="4" t="s">
        <x:v>452</x:v>
      </x:c>
      <x:c r="L62" s="4" t="s">
        <x:v>453</x:v>
      </x:c>
      <x:c r="M62" s="4" t="s">
        <x:v>454</x:v>
      </x:c>
      <x:c r="N62" s="4" t="s">
        <x:v>455</x:v>
      </x:c>
      <x:c r="O62" s="4" t="s">
        <x:v>42</x:v>
      </x:c>
      <x:c r="P62" s="4"/>
      <x:c r="Q62" s="4" t="s">
        <x:v>456</x:v>
      </x:c>
      <x:c r="R62" s="6" t="s">
        <x:v>457</x:v>
      </x:c>
      <x:c r="S62" s="4"/>
      <x:c r="T62" s="4"/>
      <x:c r="U62" s="6"/>
      <x:c r="V62" s="4" t="s">
        <x:v>45</x:v>
      </x:c>
      <x:c r="W62" s="4" t="s">
        <x:v>46</x:v>
      </x:c>
      <x:c r="X62" s="4"/>
      <x:c r="Y62" s="4"/>
      <x:c r="Z62" s="4"/>
    </x:row>
    <x:row r="63" customFormat="false" ht="78" hidden="false" customHeight="true" outlineLevel="0" collapsed="false">
      <x:c r="A63" s="4" t="s">
        <x:v>28</x:v>
      </x:c>
      <x:c r="B63" s="5" t="s">
        <x:v>458</x:v>
      </x:c>
      <x:c r="C63" s="4" t="s">
        <x:v>413</x:v>
      </x:c>
      <x:c r="D63" s="4" t="s">
        <x:v>31</x:v>
      </x:c>
      <x:c r="E63" s="4" t="s">
        <x:v>32</x:v>
      </x:c>
      <x:c r="F63" s="4" t="s">
        <x:v>33</x:v>
      </x:c>
      <x:c r="G63" s="4" t="s">
        <x:v>34</x:v>
      </x:c>
      <x:c r="H63" s="4" t="s">
        <x:v>35</x:v>
      </x:c>
      <x:c r="I63" s="4" t="s">
        <x:v>459</x:v>
      </x:c>
      <x:c r="J63" s="4" t="s">
        <x:v>37</x:v>
      </x:c>
      <x:c r="K63" s="4" t="s">
        <x:v>61</x:v>
      </x:c>
      <x:c r="L63" s="4" t="s">
        <x:v>460</x:v>
      </x:c>
      <x:c r="M63" s="4" t="s">
        <x:v>461</x:v>
      </x:c>
      <x:c r="N63" s="4" t="s">
        <x:v>462</x:v>
      </x:c>
      <x:c r="O63" s="4" t="s">
        <x:v>42</x:v>
      </x:c>
      <x:c r="P63" s="4"/>
      <x:c r="Q63" s="4" t="s">
        <x:v>463</x:v>
      </x:c>
      <x:c r="R63" s="6" t="s">
        <x:v>464</x:v>
      </x:c>
      <x:c r="S63" s="4" t="s">
        <x:v>465</x:v>
      </x:c>
      <x:c r="T63" s="4" t="s">
        <x:v>466</x:v>
      </x:c>
      <x:c r="U63" s="6" t="s">
        <x:v>467</x:v>
      </x:c>
      <x:c r="V63" s="4" t="s">
        <x:v>45</x:v>
      </x:c>
      <x:c r="W63" s="4" t="s">
        <x:v>46</x:v>
      </x:c>
      <x:c r="X63" s="4"/>
      <x:c r="Y63" s="4"/>
      <x:c r="Z63" s="4"/>
    </x:row>
    <x:row r="64" customFormat="false" ht="78" hidden="false" customHeight="true" outlineLevel="0" collapsed="false">
      <x:c r="A64" s="4" t="s">
        <x:v>28</x:v>
      </x:c>
      <x:c r="B64" s="5" t="s">
        <x:v>468</x:v>
      </x:c>
      <x:c r="C64" s="4" t="s">
        <x:v>413</x:v>
      </x:c>
      <x:c r="D64" s="4" t="s">
        <x:v>31</x:v>
      </x:c>
      <x:c r="E64" s="4" t="s">
        <x:v>32</x:v>
      </x:c>
      <x:c r="F64" s="4" t="s">
        <x:v>33</x:v>
      </x:c>
      <x:c r="G64" s="4" t="s">
        <x:v>34</x:v>
      </x:c>
      <x:c r="H64" s="4" t="s">
        <x:v>35</x:v>
      </x:c>
      <x:c r="I64" s="4" t="s">
        <x:v>469</x:v>
      </x:c>
      <x:c r="J64" s="4" t="s">
        <x:v>37</x:v>
      </x:c>
      <x:c r="K64" s="4" t="s">
        <x:v>38</x:v>
      </x:c>
      <x:c r="L64" s="4" t="s">
        <x:v>470</x:v>
      </x:c>
      <x:c r="M64" s="4" t="s">
        <x:v>471</x:v>
      </x:c>
      <x:c r="N64" s="4" t="s">
        <x:v>472</x:v>
      </x:c>
      <x:c r="O64" s="4" t="s">
        <x:v>42</x:v>
      </x:c>
      <x:c r="P64" s="4"/>
      <x:c r="Q64" s="4" t="s">
        <x:v>473</x:v>
      </x:c>
      <x:c r="R64" s="6" t="s">
        <x:v>44</x:v>
      </x:c>
      <x:c r="S64" s="4"/>
      <x:c r="T64" s="4"/>
      <x:c r="U64" s="6"/>
      <x:c r="V64" s="4" t="s">
        <x:v>45</x:v>
      </x:c>
      <x:c r="W64" s="4" t="s">
        <x:v>46</x:v>
      </x:c>
      <x:c r="X64" s="4"/>
      <x:c r="Y64" s="4"/>
      <x:c r="Z64" s="4"/>
    </x:row>
    <x:row r="65" customFormat="false" ht="78" hidden="false" customHeight="true" outlineLevel="0" collapsed="false">
      <x:c r="A65" s="4" t="s">
        <x:v>28</x:v>
      </x:c>
      <x:c r="B65" s="5" t="s">
        <x:v>474</x:v>
      </x:c>
      <x:c r="C65" s="4" t="s">
        <x:v>475</x:v>
      </x:c>
      <x:c r="D65" s="4" t="s">
        <x:v>31</x:v>
      </x:c>
      <x:c r="E65" s="4" t="s">
        <x:v>32</x:v>
      </x:c>
      <x:c r="F65" s="4" t="s">
        <x:v>33</x:v>
      </x:c>
      <x:c r="G65" s="4" t="s">
        <x:v>34</x:v>
      </x:c>
      <x:c r="H65" s="4" t="s">
        <x:v>35</x:v>
      </x:c>
      <x:c r="I65" s="4" t="s">
        <x:v>476</x:v>
      </x:c>
      <x:c r="J65" s="4" t="s">
        <x:v>338</x:v>
      </x:c>
      <x:c r="K65" s="4" t="s">
        <x:v>79</x:v>
      </x:c>
      <x:c r="L65" s="4" t="s">
        <x:v>477</x:v>
      </x:c>
      <x:c r="M65" s="4" t="s">
        <x:v>478</x:v>
      </x:c>
      <x:c r="N65" s="4" t="s">
        <x:v>479</x:v>
      </x:c>
      <x:c r="O65" s="4" t="s">
        <x:v>42</x:v>
      </x:c>
      <x:c r="P65" s="4"/>
      <x:c r="Q65" s="4" t="s">
        <x:v>480</x:v>
      </x:c>
      <x:c r="R65" s="6" t="s">
        <x:v>84</x:v>
      </x:c>
      <x:c r="S65" s="4"/>
      <x:c r="T65" s="4"/>
      <x:c r="U65" s="6"/>
      <x:c r="V65" s="4" t="s">
        <x:v>45</x:v>
      </x:c>
      <x:c r="W65" s="4" t="s">
        <x:v>46</x:v>
      </x:c>
      <x:c r="X65" s="4"/>
      <x:c r="Y65" s="4"/>
      <x:c r="Z65" s="4"/>
    </x:row>
    <x:row r="66" customFormat="false" ht="78" hidden="false" customHeight="true" outlineLevel="0" collapsed="false">
      <x:c r="A66" s="4" t="s">
        <x:v>28</x:v>
      </x:c>
      <x:c r="B66" s="5" t="s">
        <x:v>481</x:v>
      </x:c>
      <x:c r="C66" s="4" t="s">
        <x:v>475</x:v>
      </x:c>
      <x:c r="D66" s="4" t="s">
        <x:v>31</x:v>
      </x:c>
      <x:c r="E66" s="4" t="s">
        <x:v>32</x:v>
      </x:c>
      <x:c r="F66" s="4" t="s">
        <x:v>33</x:v>
      </x:c>
      <x:c r="G66" s="4" t="s">
        <x:v>34</x:v>
      </x:c>
      <x:c r="H66" s="4" t="s">
        <x:v>35</x:v>
      </x:c>
      <x:c r="I66" s="4" t="s">
        <x:v>482</x:v>
      </x:c>
      <x:c r="J66" s="4" t="s">
        <x:v>37</x:v>
      </x:c>
      <x:c r="K66" s="4" t="s">
        <x:v>79</x:v>
      </x:c>
      <x:c r="L66" s="4" t="s">
        <x:v>483</x:v>
      </x:c>
      <x:c r="M66" s="4" t="s">
        <x:v>484</x:v>
      </x:c>
      <x:c r="N66" s="4" t="s">
        <x:v>485</x:v>
      </x:c>
      <x:c r="O66" s="4" t="s">
        <x:v>42</x:v>
      </x:c>
      <x:c r="P66" s="4"/>
      <x:c r="Q66" s="4" t="s">
        <x:v>486</x:v>
      </x:c>
      <x:c r="R66" s="6" t="s">
        <x:v>84</x:v>
      </x:c>
      <x:c r="S66" s="4"/>
      <x:c r="T66" s="4"/>
      <x:c r="U66" s="6"/>
      <x:c r="V66" s="4" t="s">
        <x:v>45</x:v>
      </x:c>
      <x:c r="W66" s="4" t="s">
        <x:v>46</x:v>
      </x:c>
      <x:c r="X66" s="4"/>
      <x:c r="Y66" s="4"/>
      <x:c r="Z66" s="4"/>
    </x:row>
    <x:row r="67" customFormat="false" ht="78" hidden="false" customHeight="true" outlineLevel="0" collapsed="false">
      <x:c r="A67" s="4" t="s">
        <x:v>28</x:v>
      </x:c>
      <x:c r="B67" s="5" t="s">
        <x:v>487</x:v>
      </x:c>
      <x:c r="C67" s="4" t="s">
        <x:v>475</x:v>
      </x:c>
      <x:c r="D67" s="4" t="s">
        <x:v>31</x:v>
      </x:c>
      <x:c r="E67" s="4" t="s">
        <x:v>32</x:v>
      </x:c>
      <x:c r="F67" s="4" t="s">
        <x:v>33</x:v>
      </x:c>
      <x:c r="G67" s="4" t="s">
        <x:v>34</x:v>
      </x:c>
      <x:c r="H67" s="4" t="s">
        <x:v>35</x:v>
      </x:c>
      <x:c r="I67" s="4" t="s">
        <x:v>488</x:v>
      </x:c>
      <x:c r="J67" s="4" t="s">
        <x:v>37</x:v>
      </x:c>
      <x:c r="K67" s="4" t="s">
        <x:v>61</x:v>
      </x:c>
      <x:c r="L67" s="4" t="s">
        <x:v>489</x:v>
      </x:c>
      <x:c r="M67" s="4" t="s">
        <x:v>490</x:v>
      </x:c>
      <x:c r="N67" s="4" t="s">
        <x:v>491</x:v>
      </x:c>
      <x:c r="O67" s="4" t="s">
        <x:v>42</x:v>
      </x:c>
      <x:c r="P67" s="4"/>
      <x:c r="Q67" s="4" t="s">
        <x:v>492</x:v>
      </x:c>
      <x:c r="R67" s="6" t="s">
        <x:v>364</x:v>
      </x:c>
      <x:c r="S67" s="4" t="s">
        <x:v>61</x:v>
      </x:c>
      <x:c r="T67" s="4" t="s">
        <x:v>390</x:v>
      </x:c>
      <x:c r="U67" s="6" t="s">
        <x:v>391</x:v>
      </x:c>
      <x:c r="V67" s="4" t="s">
        <x:v>45</x:v>
      </x:c>
      <x:c r="W67" s="4" t="s">
        <x:v>46</x:v>
      </x:c>
      <x:c r="X67" s="4"/>
      <x:c r="Y67" s="4"/>
      <x:c r="Z67" s="4"/>
    </x:row>
    <x:row r="68" customFormat="false" ht="78" hidden="false" customHeight="true" outlineLevel="0" collapsed="false">
      <x:c r="A68" s="4" t="s">
        <x:v>28</x:v>
      </x:c>
      <x:c r="B68" s="5" t="s">
        <x:v>493</x:v>
      </x:c>
      <x:c r="C68" s="4" t="s">
        <x:v>475</x:v>
      </x:c>
      <x:c r="D68" s="4" t="s">
        <x:v>31</x:v>
      </x:c>
      <x:c r="E68" s="4" t="s">
        <x:v>32</x:v>
      </x:c>
      <x:c r="F68" s="4" t="s">
        <x:v>33</x:v>
      </x:c>
      <x:c r="G68" s="4" t="s">
        <x:v>34</x:v>
      </x:c>
      <x:c r="H68" s="4" t="s">
        <x:v>35</x:v>
      </x:c>
      <x:c r="I68" s="4" t="s">
        <x:v>494</x:v>
      </x:c>
      <x:c r="J68" s="4" t="s">
        <x:v>37</x:v>
      </x:c>
      <x:c r="K68" s="4" t="s">
        <x:v>79</x:v>
      </x:c>
      <x:c r="L68" s="4" t="s">
        <x:v>302</x:v>
      </x:c>
      <x:c r="M68" s="4" t="s">
        <x:v>495</x:v>
      </x:c>
      <x:c r="N68" s="4" t="s">
        <x:v>496</x:v>
      </x:c>
      <x:c r="O68" s="4" t="s">
        <x:v>42</x:v>
      </x:c>
      <x:c r="P68" s="4"/>
      <x:c r="Q68" s="4" t="s">
        <x:v>497</x:v>
      </x:c>
      <x:c r="R68" s="6" t="s">
        <x:v>84</x:v>
      </x:c>
      <x:c r="S68" s="4"/>
      <x:c r="T68" s="4"/>
      <x:c r="U68" s="6"/>
      <x:c r="V68" s="4" t="s">
        <x:v>45</x:v>
      </x:c>
      <x:c r="W68" s="4" t="s">
        <x:v>46</x:v>
      </x:c>
      <x:c r="X68" s="4"/>
      <x:c r="Y68" s="4"/>
      <x:c r="Z68" s="4"/>
    </x:row>
    <x:row r="69" customFormat="false" ht="78" hidden="false" customHeight="true" outlineLevel="0" collapsed="false">
      <x:c r="A69" s="4" t="s">
        <x:v>28</x:v>
      </x:c>
      <x:c r="B69" s="5" t="s">
        <x:v>498</x:v>
      </x:c>
      <x:c r="C69" s="4" t="s">
        <x:v>475</x:v>
      </x:c>
      <x:c r="D69" s="4" t="s">
        <x:v>31</x:v>
      </x:c>
      <x:c r="E69" s="4" t="s">
        <x:v>233</x:v>
      </x:c>
      <x:c r="F69" s="4" t="s">
        <x:v>33</x:v>
      </x:c>
      <x:c r="G69" s="4" t="s">
        <x:v>234</x:v>
      </x:c>
      <x:c r="H69" s="4" t="s">
        <x:v>95</x:v>
      </x:c>
      <x:c r="I69" s="4" t="s">
        <x:v>499</x:v>
      </x:c>
      <x:c r="J69" s="4" t="s">
        <x:v>37</x:v>
      </x:c>
      <x:c r="K69" s="4" t="s">
        <x:v>278</x:v>
      </x:c>
      <x:c r="L69" s="4" t="s">
        <x:v>298</x:v>
      </x:c>
      <x:c r="M69" s="4" t="s">
        <x:v>500</x:v>
      </x:c>
      <x:c r="N69" s="4" t="s">
        <x:v>501</x:v>
      </x:c>
      <x:c r="O69" s="4" t="s">
        <x:v>42</x:v>
      </x:c>
      <x:c r="P69" s="4"/>
      <x:c r="Q69" s="4" t="s">
        <x:v>502</x:v>
      </x:c>
      <x:c r="R69" s="6" t="s">
        <x:v>283</x:v>
      </x:c>
      <x:c r="S69" s="4"/>
      <x:c r="T69" s="4"/>
      <x:c r="U69" s="6"/>
      <x:c r="V69" s="4" t="s">
        <x:v>45</x:v>
      </x:c>
      <x:c r="W69" s="4" t="s">
        <x:v>46</x:v>
      </x:c>
      <x:c r="X69" s="4"/>
      <x:c r="Y69" s="4"/>
      <x:c r="Z69" s="4"/>
    </x:row>
    <x:row r="70" customFormat="false" ht="78" hidden="false" customHeight="true" outlineLevel="0" collapsed="false">
      <x:c r="A70" s="4" t="s">
        <x:v>28</x:v>
      </x:c>
      <x:c r="B70" s="5" t="s">
        <x:v>503</x:v>
      </x:c>
      <x:c r="C70" s="4" t="s">
        <x:v>475</x:v>
      </x:c>
      <x:c r="D70" s="4" t="s">
        <x:v>31</x:v>
      </x:c>
      <x:c r="E70" s="4" t="s">
        <x:v>32</x:v>
      </x:c>
      <x:c r="F70" s="4" t="s">
        <x:v>33</x:v>
      </x:c>
      <x:c r="G70" s="4" t="s">
        <x:v>34</x:v>
      </x:c>
      <x:c r="H70" s="4" t="s">
        <x:v>35</x:v>
      </x:c>
      <x:c r="I70" s="4" t="s">
        <x:v>504</x:v>
      </x:c>
      <x:c r="J70" s="4" t="s">
        <x:v>37</x:v>
      </x:c>
      <x:c r="K70" s="4" t="s">
        <x:v>79</x:v>
      </x:c>
      <x:c r="L70" s="4" t="s">
        <x:v>505</x:v>
      </x:c>
      <x:c r="M70" s="4" t="s">
        <x:v>506</x:v>
      </x:c>
      <x:c r="N70" s="4" t="s">
        <x:v>507</x:v>
      </x:c>
      <x:c r="O70" s="4" t="s">
        <x:v>42</x:v>
      </x:c>
      <x:c r="P70" s="4"/>
      <x:c r="Q70" s="4" t="s">
        <x:v>508</x:v>
      </x:c>
      <x:c r="R70" s="6" t="s">
        <x:v>84</x:v>
      </x:c>
      <x:c r="S70" s="4"/>
      <x:c r="T70" s="4"/>
      <x:c r="U70" s="6"/>
      <x:c r="V70" s="4" t="s">
        <x:v>45</x:v>
      </x:c>
      <x:c r="W70" s="4" t="s">
        <x:v>46</x:v>
      </x:c>
      <x:c r="X70" s="4"/>
      <x:c r="Y70" s="4"/>
      <x:c r="Z70" s="4"/>
    </x:row>
    <x:row r="71" customFormat="false" ht="78" hidden="false" customHeight="true" outlineLevel="0" collapsed="false">
      <x:c r="A71" s="4" t="s">
        <x:v>28</x:v>
      </x:c>
      <x:c r="B71" s="5" t="s">
        <x:v>509</x:v>
      </x:c>
      <x:c r="C71" s="4" t="s">
        <x:v>475</x:v>
      </x:c>
      <x:c r="D71" s="4" t="s">
        <x:v>31</x:v>
      </x:c>
      <x:c r="E71" s="4" t="s">
        <x:v>233</x:v>
      </x:c>
      <x:c r="F71" s="4" t="s">
        <x:v>33</x:v>
      </x:c>
      <x:c r="G71" s="4" t="s">
        <x:v>234</x:v>
      </x:c>
      <x:c r="H71" s="4" t="s">
        <x:v>95</x:v>
      </x:c>
      <x:c r="I71" s="4" t="s">
        <x:v>510</x:v>
      </x:c>
      <x:c r="J71" s="4" t="s">
        <x:v>338</x:v>
      </x:c>
      <x:c r="K71" s="4" t="s">
        <x:v>38</x:v>
      </x:c>
      <x:c r="L71" s="4" t="s">
        <x:v>511</x:v>
      </x:c>
      <x:c r="M71" s="4" t="s">
        <x:v>512</x:v>
      </x:c>
      <x:c r="N71" s="4" t="s">
        <x:v>513</x:v>
      </x:c>
      <x:c r="O71" s="4" t="s">
        <x:v>42</x:v>
      </x:c>
      <x:c r="P71" s="4"/>
      <x:c r="Q71" s="4" t="s">
        <x:v>514</x:v>
      </x:c>
      <x:c r="R71" s="6" t="s">
        <x:v>44</x:v>
      </x:c>
      <x:c r="S71" s="4"/>
      <x:c r="T71" s="4"/>
      <x:c r="U71" s="6"/>
      <x:c r="V71" s="4" t="s">
        <x:v>45</x:v>
      </x:c>
      <x:c r="W71" s="4" t="s">
        <x:v>46</x:v>
      </x:c>
      <x:c r="X71" s="4"/>
      <x:c r="Y71" s="4"/>
      <x:c r="Z71" s="4"/>
    </x:row>
    <x:row r="72" customFormat="false" ht="78" hidden="false" customHeight="true" outlineLevel="0" collapsed="false">
      <x:c r="A72" s="4" t="s">
        <x:v>28</x:v>
      </x:c>
      <x:c r="B72" s="5" t="s">
        <x:v>515</x:v>
      </x:c>
      <x:c r="C72" s="4" t="s">
        <x:v>475</x:v>
      </x:c>
      <x:c r="D72" s="4" t="s">
        <x:v>31</x:v>
      </x:c>
      <x:c r="E72" s="4" t="s">
        <x:v>32</x:v>
      </x:c>
      <x:c r="F72" s="4" t="s">
        <x:v>33</x:v>
      </x:c>
      <x:c r="G72" s="4" t="s">
        <x:v>34</x:v>
      </x:c>
      <x:c r="H72" s="4" t="s">
        <x:v>35</x:v>
      </x:c>
      <x:c r="I72" s="4" t="s">
        <x:v>516</x:v>
      </x:c>
      <x:c r="J72" s="4" t="s">
        <x:v>37</x:v>
      </x:c>
      <x:c r="K72" s="4" t="s">
        <x:v>79</x:v>
      </x:c>
      <x:c r="L72" s="4" t="s">
        <x:v>517</x:v>
      </x:c>
      <x:c r="M72" s="4" t="s">
        <x:v>518</x:v>
      </x:c>
      <x:c r="N72" s="4" t="s">
        <x:v>519</x:v>
      </x:c>
      <x:c r="O72" s="4" t="s">
        <x:v>42</x:v>
      </x:c>
      <x:c r="P72" s="4"/>
      <x:c r="Q72" s="4" t="s">
        <x:v>520</x:v>
      </x:c>
      <x:c r="R72" s="6" t="s">
        <x:v>84</x:v>
      </x:c>
      <x:c r="S72" s="4"/>
      <x:c r="T72" s="4"/>
      <x:c r="U72" s="6"/>
      <x:c r="V72" s="4" t="s">
        <x:v>45</x:v>
      </x:c>
      <x:c r="W72" s="4" t="s">
        <x:v>46</x:v>
      </x:c>
      <x:c r="X72" s="4"/>
      <x:c r="Y72" s="4"/>
      <x:c r="Z72" s="4"/>
    </x:row>
    <x:row r="73" customFormat="false" ht="78" hidden="false" customHeight="true" outlineLevel="0" collapsed="false">
      <x:c r="A73" s="4" t="s">
        <x:v>28</x:v>
      </x:c>
      <x:c r="B73" s="5" t="s">
        <x:v>521</x:v>
      </x:c>
      <x:c r="C73" s="4" t="s">
        <x:v>522</x:v>
      </x:c>
      <x:c r="D73" s="4" t="s">
        <x:v>31</x:v>
      </x:c>
      <x:c r="E73" s="4" t="s">
        <x:v>32</x:v>
      </x:c>
      <x:c r="F73" s="4" t="s">
        <x:v>33</x:v>
      </x:c>
      <x:c r="G73" s="4" t="s">
        <x:v>34</x:v>
      </x:c>
      <x:c r="H73" s="4" t="s">
        <x:v>35</x:v>
      </x:c>
      <x:c r="I73" s="4" t="s">
        <x:v>523</x:v>
      </x:c>
      <x:c r="J73" s="4" t="s">
        <x:v>37</x:v>
      </x:c>
      <x:c r="K73" s="4" t="s">
        <x:v>524</x:v>
      </x:c>
      <x:c r="L73" s="4" t="s">
        <x:v>525</x:v>
      </x:c>
      <x:c r="M73" s="4" t="s">
        <x:v>526</x:v>
      </x:c>
      <x:c r="N73" s="4" t="s">
        <x:v>527</x:v>
      </x:c>
      <x:c r="O73" s="4" t="s">
        <x:v>42</x:v>
      </x:c>
      <x:c r="P73" s="4"/>
      <x:c r="Q73" s="4" t="s">
        <x:v>528</x:v>
      </x:c>
      <x:c r="R73" s="6" t="s">
        <x:v>529</x:v>
      </x:c>
      <x:c r="S73" s="4" t="s">
        <x:v>530</x:v>
      </x:c>
      <x:c r="T73" s="4" t="s">
        <x:v>531</x:v>
      </x:c>
      <x:c r="U73" s="6" t="s">
        <x:v>532</x:v>
      </x:c>
      <x:c r="V73" s="4" t="s">
        <x:v>45</x:v>
      </x:c>
      <x:c r="W73" s="4" t="s">
        <x:v>46</x:v>
      </x:c>
      <x:c r="X73" s="4"/>
      <x:c r="Y73" s="4"/>
      <x:c r="Z73" s="4"/>
    </x:row>
    <x:row r="74" customFormat="false" ht="78" hidden="false" customHeight="true" outlineLevel="0" collapsed="false">
      <x:c r="A74" s="4" t="s">
        <x:v>28</x:v>
      </x:c>
      <x:c r="B74" s="5" t="s">
        <x:v>533</x:v>
      </x:c>
      <x:c r="C74" s="4" t="s">
        <x:v>522</x:v>
      </x:c>
      <x:c r="D74" s="4" t="s">
        <x:v>31</x:v>
      </x:c>
      <x:c r="E74" s="4" t="s">
        <x:v>32</x:v>
      </x:c>
      <x:c r="F74" s="4" t="s">
        <x:v>33</x:v>
      </x:c>
      <x:c r="G74" s="4" t="s">
        <x:v>34</x:v>
      </x:c>
      <x:c r="H74" s="4" t="s">
        <x:v>35</x:v>
      </x:c>
      <x:c r="I74" s="4" t="s">
        <x:v>534</x:v>
      </x:c>
      <x:c r="J74" s="4" t="s">
        <x:v>37</x:v>
      </x:c>
      <x:c r="K74" s="4" t="s">
        <x:v>524</x:v>
      </x:c>
      <x:c r="L74" s="4" t="s">
        <x:v>535</x:v>
      </x:c>
      <x:c r="M74" s="4" t="s">
        <x:v>536</x:v>
      </x:c>
      <x:c r="N74" s="4" t="s">
        <x:v>537</x:v>
      </x:c>
      <x:c r="O74" s="4" t="s">
        <x:v>42</x:v>
      </x:c>
      <x:c r="P74" s="4"/>
      <x:c r="Q74" s="4" t="s">
        <x:v>538</x:v>
      </x:c>
      <x:c r="R74" s="6" t="s">
        <x:v>539</x:v>
      </x:c>
      <x:c r="S74" s="4" t="s">
        <x:v>540</x:v>
      </x:c>
      <x:c r="T74" s="4" t="s">
        <x:v>541</x:v>
      </x:c>
      <x:c r="U74" s="6" t="s">
        <x:v>542</x:v>
      </x:c>
      <x:c r="V74" s="4" t="s">
        <x:v>45</x:v>
      </x:c>
      <x:c r="W74" s="4" t="s">
        <x:v>46</x:v>
      </x:c>
      <x:c r="X74" s="4"/>
      <x:c r="Y74" s="4"/>
      <x:c r="Z74" s="4"/>
    </x:row>
    <x:row r="75" customFormat="false" ht="78" hidden="false" customHeight="true" outlineLevel="0" collapsed="false">
      <x:c r="A75" s="4" t="s">
        <x:v>28</x:v>
      </x:c>
      <x:c r="B75" s="5" t="s">
        <x:v>543</x:v>
      </x:c>
      <x:c r="C75" s="4" t="s">
        <x:v>522</x:v>
      </x:c>
      <x:c r="D75" s="4" t="s">
        <x:v>31</x:v>
      </x:c>
      <x:c r="E75" s="4" t="s">
        <x:v>32</x:v>
      </x:c>
      <x:c r="F75" s="4" t="s">
        <x:v>33</x:v>
      </x:c>
      <x:c r="G75" s="4" t="s">
        <x:v>34</x:v>
      </x:c>
      <x:c r="H75" s="4" t="s">
        <x:v>35</x:v>
      </x:c>
      <x:c r="I75" s="4" t="s">
        <x:v>544</x:v>
      </x:c>
      <x:c r="J75" s="4" t="s">
        <x:v>338</x:v>
      </x:c>
      <x:c r="K75" s="4" t="s">
        <x:v>524</x:v>
      </x:c>
      <x:c r="L75" s="4" t="s">
        <x:v>545</x:v>
      </x:c>
      <x:c r="M75" s="4" t="s">
        <x:v>546</x:v>
      </x:c>
      <x:c r="N75" s="4" t="s">
        <x:v>547</x:v>
      </x:c>
      <x:c r="O75" s="4" t="s">
        <x:v>42</x:v>
      </x:c>
      <x:c r="P75" s="4"/>
      <x:c r="Q75" s="4" t="s">
        <x:v>548</x:v>
      </x:c>
      <x:c r="R75" s="6" t="s">
        <x:v>529</x:v>
      </x:c>
      <x:c r="S75" s="4" t="s">
        <x:v>540</x:v>
      </x:c>
      <x:c r="T75" s="4" t="s">
        <x:v>549</x:v>
      </x:c>
      <x:c r="U75" s="6" t="s">
        <x:v>542</x:v>
      </x:c>
      <x:c r="V75" s="4" t="s">
        <x:v>45</x:v>
      </x:c>
      <x:c r="W75" s="4" t="s">
        <x:v>46</x:v>
      </x:c>
      <x:c r="X75" s="4"/>
      <x:c r="Y75" s="4"/>
      <x:c r="Z75" s="4"/>
    </x:row>
    <x:row r="76" customFormat="false" ht="78" hidden="false" customHeight="true" outlineLevel="0" collapsed="false">
      <x:c r="A76" s="4" t="s">
        <x:v>28</x:v>
      </x:c>
      <x:c r="B76" s="5" t="s">
        <x:v>550</x:v>
      </x:c>
      <x:c r="C76" s="4" t="s">
        <x:v>522</x:v>
      </x:c>
      <x:c r="D76" s="4" t="s">
        <x:v>31</x:v>
      </x:c>
      <x:c r="E76" s="4" t="s">
        <x:v>32</x:v>
      </x:c>
      <x:c r="F76" s="4" t="s">
        <x:v>33</x:v>
      </x:c>
      <x:c r="G76" s="4" t="s">
        <x:v>34</x:v>
      </x:c>
      <x:c r="H76" s="4" t="s">
        <x:v>35</x:v>
      </x:c>
      <x:c r="I76" s="4" t="s">
        <x:v>551</x:v>
      </x:c>
      <x:c r="J76" s="4" t="s">
        <x:v>37</x:v>
      </x:c>
      <x:c r="K76" s="4" t="s">
        <x:v>305</x:v>
      </x:c>
      <x:c r="L76" s="4" t="s">
        <x:v>552</x:v>
      </x:c>
      <x:c r="M76" s="4" t="s">
        <x:v>553</x:v>
      </x:c>
      <x:c r="N76" s="4" t="s">
        <x:v>554</x:v>
      </x:c>
      <x:c r="O76" s="4" t="s">
        <x:v>42</x:v>
      </x:c>
      <x:c r="P76" s="4"/>
      <x:c r="Q76" s="4" t="s">
        <x:v>555</x:v>
      </x:c>
      <x:c r="R76" s="6" t="s">
        <x:v>310</x:v>
      </x:c>
      <x:c r="S76" s="4" t="s">
        <x:v>524</x:v>
      </x:c>
      <x:c r="T76" s="4" t="s">
        <x:v>556</x:v>
      </x:c>
      <x:c r="U76" s="6" t="s">
        <x:v>557</x:v>
      </x:c>
      <x:c r="V76" s="4" t="s">
        <x:v>45</x:v>
      </x:c>
      <x:c r="W76" s="4" t="s">
        <x:v>46</x:v>
      </x:c>
      <x:c r="X76" s="4"/>
      <x:c r="Y76" s="4"/>
      <x:c r="Z76" s="4"/>
    </x:row>
    <x:row r="77" customFormat="false" ht="78" hidden="false" customHeight="true" outlineLevel="0" collapsed="false">
      <x:c r="A77" s="4" t="s">
        <x:v>28</x:v>
      </x:c>
      <x:c r="B77" s="5" t="s">
        <x:v>558</x:v>
      </x:c>
      <x:c r="C77" s="4" t="s">
        <x:v>522</x:v>
      </x:c>
      <x:c r="D77" s="4" t="s">
        <x:v>31</x:v>
      </x:c>
      <x:c r="E77" s="4" t="s">
        <x:v>32</x:v>
      </x:c>
      <x:c r="F77" s="4" t="s">
        <x:v>33</x:v>
      </x:c>
      <x:c r="G77" s="4" t="s">
        <x:v>34</x:v>
      </x:c>
      <x:c r="H77" s="4" t="s">
        <x:v>35</x:v>
      </x:c>
      <x:c r="I77" s="4" t="s">
        <x:v>559</x:v>
      </x:c>
      <x:c r="J77" s="4" t="s">
        <x:v>37</x:v>
      </x:c>
      <x:c r="K77" s="4" t="s">
        <x:v>560</x:v>
      </x:c>
      <x:c r="L77" s="4" t="s">
        <x:v>561</x:v>
      </x:c>
      <x:c r="M77" s="4" t="s">
        <x:v>562</x:v>
      </x:c>
      <x:c r="N77" s="4" t="s">
        <x:v>563</x:v>
      </x:c>
      <x:c r="O77" s="4" t="s">
        <x:v>42</x:v>
      </x:c>
      <x:c r="P77" s="4"/>
      <x:c r="Q77" s="4" t="s">
        <x:v>564</x:v>
      </x:c>
      <x:c r="R77" s="6" t="s">
        <x:v>565</x:v>
      </x:c>
      <x:c r="S77" s="4"/>
      <x:c r="T77" s="4"/>
      <x:c r="U77" s="6"/>
      <x:c r="V77" s="4" t="s">
        <x:v>45</x:v>
      </x:c>
      <x:c r="W77" s="4" t="s">
        <x:v>46</x:v>
      </x:c>
      <x:c r="X77" s="4"/>
      <x:c r="Y77" s="4"/>
      <x:c r="Z77" s="4"/>
    </x:row>
    <x:row r="78" customFormat="false" ht="78" hidden="false" customHeight="true" outlineLevel="0" collapsed="false">
      <x:c r="A78" s="4" t="s">
        <x:v>28</x:v>
      </x:c>
      <x:c r="B78" s="5" t="s">
        <x:v>566</x:v>
      </x:c>
      <x:c r="C78" s="4" t="s">
        <x:v>522</x:v>
      </x:c>
      <x:c r="D78" s="4" t="s">
        <x:v>31</x:v>
      </x:c>
      <x:c r="E78" s="4" t="s">
        <x:v>32</x:v>
      </x:c>
      <x:c r="F78" s="4" t="s">
        <x:v>33</x:v>
      </x:c>
      <x:c r="G78" s="4" t="s">
        <x:v>34</x:v>
      </x:c>
      <x:c r="H78" s="4" t="s">
        <x:v>35</x:v>
      </x:c>
      <x:c r="I78" s="4" t="s">
        <x:v>567</x:v>
      </x:c>
      <x:c r="J78" s="4" t="s">
        <x:v>37</x:v>
      </x:c>
      <x:c r="K78" s="4" t="s">
        <x:v>568</x:v>
      </x:c>
      <x:c r="L78" s="4" t="s">
        <x:v>569</x:v>
      </x:c>
      <x:c r="M78" s="4" t="s">
        <x:v>570</x:v>
      </x:c>
      <x:c r="N78" s="4" t="s">
        <x:v>571</x:v>
      </x:c>
      <x:c r="O78" s="4" t="s">
        <x:v>42</x:v>
      </x:c>
      <x:c r="P78" s="4"/>
      <x:c r="Q78" s="4" t="s">
        <x:v>572</x:v>
      </x:c>
      <x:c r="R78" s="6" t="s">
        <x:v>573</x:v>
      </x:c>
      <x:c r="S78" s="4"/>
      <x:c r="T78" s="4"/>
      <x:c r="U78" s="6"/>
      <x:c r="V78" s="4" t="s">
        <x:v>45</x:v>
      </x:c>
      <x:c r="W78" s="4" t="s">
        <x:v>46</x:v>
      </x:c>
      <x:c r="X78" s="4"/>
      <x:c r="Y78" s="4"/>
      <x:c r="Z78" s="4"/>
    </x:row>
    <x:row r="79" customFormat="false" ht="78" hidden="false" customHeight="true" outlineLevel="0" collapsed="false">
      <x:c r="A79" s="4" t="s">
        <x:v>28</x:v>
      </x:c>
      <x:c r="B79" s="5" t="s">
        <x:v>574</x:v>
      </x:c>
      <x:c r="C79" s="4" t="s">
        <x:v>522</x:v>
      </x:c>
      <x:c r="D79" s="4" t="s">
        <x:v>31</x:v>
      </x:c>
      <x:c r="E79" s="4" t="s">
        <x:v>110</x:v>
      </x:c>
      <x:c r="F79" s="4" t="s">
        <x:v>33</x:v>
      </x:c>
      <x:c r="G79" s="4" t="s">
        <x:v>111</x:v>
      </x:c>
      <x:c r="H79" s="4" t="s">
        <x:v>95</x:v>
      </x:c>
      <x:c r="I79" s="4" t="s">
        <x:v>575</x:v>
      </x:c>
      <x:c r="J79" s="4" t="s">
        <x:v>37</x:v>
      </x:c>
      <x:c r="K79" s="4" t="s">
        <x:v>576</x:v>
      </x:c>
      <x:c r="L79" s="4" t="s">
        <x:v>577</x:v>
      </x:c>
      <x:c r="M79" s="4" t="s">
        <x:v>578</x:v>
      </x:c>
      <x:c r="N79" s="4" t="s">
        <x:v>579</x:v>
      </x:c>
      <x:c r="O79" s="4" t="s">
        <x:v>42</x:v>
      </x:c>
      <x:c r="P79" s="4"/>
      <x:c r="Q79" s="4" t="s">
        <x:v>580</x:v>
      </x:c>
      <x:c r="R79" s="6" t="s">
        <x:v>581</x:v>
      </x:c>
      <x:c r="S79" s="4"/>
      <x:c r="T79" s="4"/>
      <x:c r="U79" s="6"/>
      <x:c r="V79" s="4" t="s">
        <x:v>45</x:v>
      </x:c>
      <x:c r="W79" s="4" t="s">
        <x:v>46</x:v>
      </x:c>
      <x:c r="X79" s="4"/>
      <x:c r="Y79" s="4"/>
      <x:c r="Z79" s="4"/>
    </x:row>
    <x:row r="80" customFormat="false" ht="78" hidden="false" customHeight="true" outlineLevel="0" collapsed="false">
      <x:c r="A80" s="4" t="s">
        <x:v>28</x:v>
      </x:c>
      <x:c r="B80" s="5" t="s">
        <x:v>582</x:v>
      </x:c>
      <x:c r="C80" s="4" t="s">
        <x:v>522</x:v>
      </x:c>
      <x:c r="D80" s="4" t="s">
        <x:v>31</x:v>
      </x:c>
      <x:c r="E80" s="4" t="s">
        <x:v>233</x:v>
      </x:c>
      <x:c r="F80" s="4" t="s">
        <x:v>33</x:v>
      </x:c>
      <x:c r="G80" s="4" t="s">
        <x:v>234</x:v>
      </x:c>
      <x:c r="H80" s="4" t="s">
        <x:v>95</x:v>
      </x:c>
      <x:c r="I80" s="4" t="s">
        <x:v>583</x:v>
      </x:c>
      <x:c r="J80" s="4" t="s">
        <x:v>37</x:v>
      </x:c>
      <x:c r="K80" s="4" t="s">
        <x:v>584</x:v>
      </x:c>
      <x:c r="L80" s="4" t="s">
        <x:v>585</x:v>
      </x:c>
      <x:c r="M80" s="4" t="s">
        <x:v>586</x:v>
      </x:c>
      <x:c r="N80" s="4" t="s">
        <x:v>587</x:v>
      </x:c>
      <x:c r="O80" s="4" t="s">
        <x:v>42</x:v>
      </x:c>
      <x:c r="P80" s="4"/>
      <x:c r="Q80" s="4" t="s">
        <x:v>588</x:v>
      </x:c>
      <x:c r="R80" s="6" t="s">
        <x:v>589</x:v>
      </x:c>
      <x:c r="S80" s="4"/>
      <x:c r="T80" s="4"/>
      <x:c r="U80" s="6"/>
      <x:c r="V80" s="4" t="s">
        <x:v>45</x:v>
      </x:c>
      <x:c r="W80" s="4" t="s">
        <x:v>46</x:v>
      </x:c>
      <x:c r="X80" s="4"/>
      <x:c r="Y80" s="4"/>
      <x:c r="Z80" s="4"/>
    </x:row>
    <x:row r="81" customFormat="false" ht="78" hidden="false" customHeight="true" outlineLevel="0" collapsed="false">
      <x:c r="A81" s="4" t="s">
        <x:v>28</x:v>
      </x:c>
      <x:c r="B81" s="5" t="s">
        <x:v>590</x:v>
      </x:c>
      <x:c r="C81" s="4" t="s">
        <x:v>522</x:v>
      </x:c>
      <x:c r="D81" s="4" t="s">
        <x:v>31</x:v>
      </x:c>
      <x:c r="E81" s="4" t="s">
        <x:v>233</x:v>
      </x:c>
      <x:c r="F81" s="4" t="s">
        <x:v>33</x:v>
      </x:c>
      <x:c r="G81" s="4" t="s">
        <x:v>234</x:v>
      </x:c>
      <x:c r="H81" s="4" t="s">
        <x:v>95</x:v>
      </x:c>
      <x:c r="I81" s="4" t="s">
        <x:v>591</x:v>
      </x:c>
      <x:c r="J81" s="4" t="s">
        <x:v>37</x:v>
      </x:c>
      <x:c r="K81" s="4" t="s">
        <x:v>584</x:v>
      </x:c>
      <x:c r="L81" s="4" t="s">
        <x:v>592</x:v>
      </x:c>
      <x:c r="M81" s="4" t="s">
        <x:v>593</x:v>
      </x:c>
      <x:c r="N81" s="4" t="s">
        <x:v>594</x:v>
      </x:c>
      <x:c r="O81" s="4" t="s">
        <x:v>42</x:v>
      </x:c>
      <x:c r="P81" s="4"/>
      <x:c r="Q81" s="4" t="s">
        <x:v>595</x:v>
      </x:c>
      <x:c r="R81" s="6" t="s">
        <x:v>589</x:v>
      </x:c>
      <x:c r="S81" s="4"/>
      <x:c r="T81" s="4"/>
      <x:c r="U81" s="6"/>
      <x:c r="V81" s="4" t="s">
        <x:v>45</x:v>
      </x:c>
      <x:c r="W81" s="4" t="s">
        <x:v>46</x:v>
      </x:c>
      <x:c r="X81" s="4"/>
      <x:c r="Y81" s="4"/>
      <x:c r="Z81" s="4"/>
    </x:row>
    <x:row r="82" customFormat="false" ht="78" hidden="false" customHeight="true" outlineLevel="0" collapsed="false">
      <x:c r="A82" s="4" t="s">
        <x:v>28</x:v>
      </x:c>
      <x:c r="B82" s="5" t="s">
        <x:v>596</x:v>
      </x:c>
      <x:c r="C82" s="4" t="s">
        <x:v>522</x:v>
      </x:c>
      <x:c r="D82" s="4" t="s">
        <x:v>31</x:v>
      </x:c>
      <x:c r="E82" s="4" t="s">
        <x:v>110</x:v>
      </x:c>
      <x:c r="F82" s="4" t="s">
        <x:v>33</x:v>
      </x:c>
      <x:c r="G82" s="4" t="s">
        <x:v>111</x:v>
      </x:c>
      <x:c r="H82" s="4" t="s">
        <x:v>95</x:v>
      </x:c>
      <x:c r="I82" s="4" t="s">
        <x:v>597</x:v>
      </x:c>
      <x:c r="J82" s="4" t="s">
        <x:v>37</x:v>
      </x:c>
      <x:c r="K82" s="4" t="s">
        <x:v>524</x:v>
      </x:c>
      <x:c r="L82" s="4" t="s">
        <x:v>598</x:v>
      </x:c>
      <x:c r="M82" s="4" t="s">
        <x:v>599</x:v>
      </x:c>
      <x:c r="N82" s="4" t="s">
        <x:v>600</x:v>
      </x:c>
      <x:c r="O82" s="4" t="s">
        <x:v>42</x:v>
      </x:c>
      <x:c r="P82" s="4"/>
      <x:c r="Q82" s="4" t="s">
        <x:v>601</x:v>
      </x:c>
      <x:c r="R82" s="6" t="s">
        <x:v>602</x:v>
      </x:c>
      <x:c r="S82" s="4"/>
      <x:c r="T82" s="4"/>
      <x:c r="U82" s="6"/>
      <x:c r="V82" s="4" t="s">
        <x:v>45</x:v>
      </x:c>
      <x:c r="W82" s="4" t="s">
        <x:v>46</x:v>
      </x:c>
      <x:c r="X82" s="4"/>
      <x:c r="Y82" s="4"/>
      <x:c r="Z82" s="4"/>
    </x:row>
    <x:row r="83" customFormat="false" ht="78" hidden="false" customHeight="true" outlineLevel="0" collapsed="false">
      <x:c r="A83" s="4" t="s">
        <x:v>28</x:v>
      </x:c>
      <x:c r="B83" s="5" t="s">
        <x:v>603</x:v>
      </x:c>
      <x:c r="C83" s="4" t="s">
        <x:v>604</x:v>
      </x:c>
      <x:c r="D83" s="4" t="s">
        <x:v>605</x:v>
      </x:c>
      <x:c r="E83" s="4" t="s">
        <x:v>110</x:v>
      </x:c>
      <x:c r="F83" s="4" t="s">
        <x:v>606</x:v>
      </x:c>
      <x:c r="G83" s="4" t="s">
        <x:v>111</x:v>
      </x:c>
      <x:c r="H83" s="4" t="s">
        <x:v>95</x:v>
      </x:c>
      <x:c r="I83" s="4" t="s">
        <x:v>607</x:v>
      </x:c>
      <x:c r="J83" s="4" t="s">
        <x:v>37</x:v>
      </x:c>
      <x:c r="K83" s="4" t="s">
        <x:v>584</x:v>
      </x:c>
      <x:c r="L83" s="4" t="s">
        <x:v>608</x:v>
      </x:c>
      <x:c r="M83" s="4" t="s">
        <x:v>609</x:v>
      </x:c>
      <x:c r="N83" s="4" t="s">
        <x:v>610</x:v>
      </x:c>
      <x:c r="O83" s="4" t="s">
        <x:v>42</x:v>
      </x:c>
      <x:c r="P83" s="4" t="s">
        <x:v>611</x:v>
      </x:c>
      <x:c r="Q83" s="4" t="s">
        <x:v>612</x:v>
      </x:c>
      <x:c r="R83" s="6" t="s">
        <x:v>589</x:v>
      </x:c>
      <x:c r="S83" s="4"/>
      <x:c r="T83" s="4"/>
      <x:c r="U83" s="6"/>
      <x:c r="V83" s="4" t="s">
        <x:v>45</x:v>
      </x:c>
      <x:c r="W83" s="4" t="s">
        <x:v>46</x:v>
      </x:c>
      <x:c r="X83" s="4"/>
      <x:c r="Y83" s="4"/>
      <x:c r="Z83" s="4"/>
    </x:row>
    <x:row r="84" customFormat="false" ht="78" hidden="false" customHeight="true" outlineLevel="0" collapsed="false">
      <x:c r="A84" s="4" t="s">
        <x:v>28</x:v>
      </x:c>
      <x:c r="B84" s="5" t="s">
        <x:v>611</x:v>
      </x:c>
      <x:c r="C84" s="4" t="s">
        <x:v>604</x:v>
      </x:c>
      <x:c r="D84" s="4" t="s">
        <x:v>605</x:v>
      </x:c>
      <x:c r="E84" s="4" t="s">
        <x:v>32</x:v>
      </x:c>
      <x:c r="F84" s="4" t="s">
        <x:v>613</x:v>
      </x:c>
      <x:c r="G84" s="4" t="s">
        <x:v>34</x:v>
      </x:c>
      <x:c r="H84" s="4" t="s">
        <x:v>95</x:v>
      </x:c>
      <x:c r="I84" s="4" t="s">
        <x:v>614</x:v>
      </x:c>
      <x:c r="J84" s="4" t="s">
        <x:v>37</x:v>
      </x:c>
      <x:c r="K84" s="4" t="s">
        <x:v>584</x:v>
      </x:c>
      <x:c r="L84" s="4" t="s">
        <x:v>585</x:v>
      </x:c>
      <x:c r="M84" s="4" t="s">
        <x:v>615</x:v>
      </x:c>
      <x:c r="N84" s="4" t="s">
        <x:v>616</x:v>
      </x:c>
      <x:c r="O84" s="4" t="s">
        <x:v>617</x:v>
      </x:c>
      <x:c r="P84" s="4" t="s">
        <x:v>618</x:v>
      </x:c>
      <x:c r="Q84" s="4" t="s">
        <x:v>619</x:v>
      </x:c>
      <x:c r="R84" s="6" t="s">
        <x:v>589</x:v>
      </x:c>
      <x:c r="S84" s="4"/>
      <x:c r="T84" s="4"/>
      <x:c r="U84" s="6"/>
      <x:c r="V84" s="4" t="s">
        <x:v>45</x:v>
      </x:c>
      <x:c r="W84" s="4" t="s">
        <x:v>46</x:v>
      </x:c>
      <x:c r="X84" s="4"/>
      <x:c r="Y84" s="4"/>
      <x:c r="Z84" s="4"/>
    </x:row>
    <x:row r="85" customFormat="false" ht="78" hidden="false" customHeight="true" outlineLevel="0" collapsed="false">
      <x:c r="A85" s="4" t="s">
        <x:v>28</x:v>
      </x:c>
      <x:c r="B85" s="5" t="s">
        <x:v>620</x:v>
      </x:c>
      <x:c r="C85" s="4" t="s">
        <x:v>604</x:v>
      </x:c>
      <x:c r="D85" s="4" t="s">
        <x:v>605</x:v>
      </x:c>
      <x:c r="E85" s="4" t="s">
        <x:v>110</x:v>
      </x:c>
      <x:c r="F85" s="4" t="s">
        <x:v>33</x:v>
      </x:c>
      <x:c r="G85" s="4" t="s">
        <x:v>111</x:v>
      </x:c>
      <x:c r="H85" s="4" t="s">
        <x:v>95</x:v>
      </x:c>
      <x:c r="I85" s="4" t="s">
        <x:v>621</x:v>
      </x:c>
      <x:c r="J85" s="4" t="s">
        <x:v>37</x:v>
      </x:c>
      <x:c r="K85" s="4" t="s">
        <x:v>584</x:v>
      </x:c>
      <x:c r="L85" s="4" t="s">
        <x:v>585</x:v>
      </x:c>
      <x:c r="M85" s="4" t="s">
        <x:v>622</x:v>
      </x:c>
      <x:c r="N85" s="4" t="s">
        <x:v>623</x:v>
      </x:c>
      <x:c r="O85" s="4" t="s">
        <x:v>42</x:v>
      </x:c>
      <x:c r="P85" s="4"/>
      <x:c r="Q85" s="4" t="s">
        <x:v>624</x:v>
      </x:c>
      <x:c r="R85" s="6" t="s">
        <x:v>589</x:v>
      </x:c>
      <x:c r="S85" s="4"/>
      <x:c r="T85" s="4"/>
      <x:c r="U85" s="6"/>
      <x:c r="V85" s="4" t="s">
        <x:v>45</x:v>
      </x:c>
      <x:c r="W85" s="4" t="s">
        <x:v>46</x:v>
      </x:c>
      <x:c r="X85" s="4"/>
      <x:c r="Y85" s="4"/>
      <x:c r="Z85" s="4"/>
    </x:row>
    <x:row r="86" customFormat="false" ht="78" hidden="false" customHeight="true" outlineLevel="0" collapsed="false">
      <x:c r="A86" s="4" t="s">
        <x:v>28</x:v>
      </x:c>
      <x:c r="B86" s="5" t="s">
        <x:v>625</x:v>
      </x:c>
      <x:c r="C86" s="4" t="s">
        <x:v>604</x:v>
      </x:c>
      <x:c r="D86" s="4" t="s">
        <x:v>605</x:v>
      </x:c>
      <x:c r="E86" s="4" t="s">
        <x:v>110</x:v>
      </x:c>
      <x:c r="F86" s="4" t="s">
        <x:v>33</x:v>
      </x:c>
      <x:c r="G86" s="4" t="s">
        <x:v>111</x:v>
      </x:c>
      <x:c r="H86" s="4" t="s">
        <x:v>95</x:v>
      </x:c>
      <x:c r="I86" s="4" t="s">
        <x:v>626</x:v>
      </x:c>
      <x:c r="J86" s="4" t="s">
        <x:v>37</x:v>
      </x:c>
      <x:c r="K86" s="4" t="s">
        <x:v>576</x:v>
      </x:c>
      <x:c r="L86" s="4" t="s">
        <x:v>627</x:v>
      </x:c>
      <x:c r="M86" s="4" t="s">
        <x:v>628</x:v>
      </x:c>
      <x:c r="N86" s="4" t="s">
        <x:v>629</x:v>
      </x:c>
      <x:c r="O86" s="4" t="s">
        <x:v>42</x:v>
      </x:c>
      <x:c r="P86" s="4"/>
      <x:c r="Q86" s="4" t="s">
        <x:v>630</x:v>
      </x:c>
      <x:c r="R86" s="6" t="s">
        <x:v>581</x:v>
      </x:c>
      <x:c r="S86" s="4"/>
      <x:c r="T86" s="4"/>
      <x:c r="U86" s="6"/>
      <x:c r="V86" s="4" t="s">
        <x:v>45</x:v>
      </x:c>
      <x:c r="W86" s="4" t="s">
        <x:v>46</x:v>
      </x:c>
      <x:c r="X86" s="4"/>
      <x:c r="Y86" s="4"/>
      <x:c r="Z86" s="4"/>
    </x:row>
    <x:row r="87" customFormat="false" ht="78" hidden="false" customHeight="true" outlineLevel="0" collapsed="false">
      <x:c r="A87" s="4" t="s">
        <x:v>28</x:v>
      </x:c>
      <x:c r="B87" s="5" t="s">
        <x:v>631</x:v>
      </x:c>
      <x:c r="C87" s="4" t="s">
        <x:v>604</x:v>
      </x:c>
      <x:c r="D87" s="4" t="s">
        <x:v>605</x:v>
      </x:c>
      <x:c r="E87" s="4" t="s">
        <x:v>110</x:v>
      </x:c>
      <x:c r="F87" s="4" t="s">
        <x:v>33</x:v>
      </x:c>
      <x:c r="G87" s="4" t="s">
        <x:v>111</x:v>
      </x:c>
      <x:c r="H87" s="4" t="s">
        <x:v>95</x:v>
      </x:c>
      <x:c r="I87" s="4" t="s">
        <x:v>632</x:v>
      </x:c>
      <x:c r="J87" s="4" t="s">
        <x:v>338</x:v>
      </x:c>
      <x:c r="K87" s="4" t="s">
        <x:v>584</x:v>
      </x:c>
      <x:c r="L87" s="4" t="s">
        <x:v>633</x:v>
      </x:c>
      <x:c r="M87" s="4" t="s">
        <x:v>634</x:v>
      </x:c>
      <x:c r="N87" s="4" t="s">
        <x:v>635</x:v>
      </x:c>
      <x:c r="O87" s="4" t="s">
        <x:v>42</x:v>
      </x:c>
      <x:c r="P87" s="4"/>
      <x:c r="Q87" s="4" t="s">
        <x:v>636</x:v>
      </x:c>
      <x:c r="R87" s="6" t="s">
        <x:v>589</x:v>
      </x:c>
      <x:c r="S87" s="4"/>
      <x:c r="T87" s="4"/>
      <x:c r="U87" s="6"/>
      <x:c r="V87" s="4" t="s">
        <x:v>45</x:v>
      </x:c>
      <x:c r="W87" s="4" t="s">
        <x:v>46</x:v>
      </x:c>
      <x:c r="X87" s="4"/>
      <x:c r="Y87" s="4"/>
      <x:c r="Z87" s="4"/>
    </x:row>
    <x:row r="88" customFormat="false" ht="78" hidden="false" customHeight="true" outlineLevel="0" collapsed="false">
      <x:c r="A88" s="4" t="s">
        <x:v>28</x:v>
      </x:c>
      <x:c r="B88" s="5" t="s">
        <x:v>637</x:v>
      </x:c>
      <x:c r="C88" s="4" t="s">
        <x:v>604</x:v>
      </x:c>
      <x:c r="D88" s="4" t="s">
        <x:v>605</x:v>
      </x:c>
      <x:c r="E88" s="4" t="s">
        <x:v>110</x:v>
      </x:c>
      <x:c r="F88" s="4" t="s">
        <x:v>33</x:v>
      </x:c>
      <x:c r="G88" s="4" t="s">
        <x:v>111</x:v>
      </x:c>
      <x:c r="H88" s="4" t="s">
        <x:v>95</x:v>
      </x:c>
      <x:c r="I88" s="4" t="s">
        <x:v>638</x:v>
      </x:c>
      <x:c r="J88" s="4" t="s">
        <x:v>37</x:v>
      </x:c>
      <x:c r="K88" s="4" t="s">
        <x:v>79</x:v>
      </x:c>
      <x:c r="L88" s="4" t="s">
        <x:v>639</x:v>
      </x:c>
      <x:c r="M88" s="4" t="s">
        <x:v>640</x:v>
      </x:c>
      <x:c r="N88" s="4" t="s">
        <x:v>641</x:v>
      </x:c>
      <x:c r="O88" s="4" t="s">
        <x:v>42</x:v>
      </x:c>
      <x:c r="P88" s="4"/>
      <x:c r="Q88" s="4" t="s">
        <x:v>642</x:v>
      </x:c>
      <x:c r="R88" s="6" t="s">
        <x:v>84</x:v>
      </x:c>
      <x:c r="S88" s="4"/>
      <x:c r="T88" s="4"/>
      <x:c r="U88" s="6"/>
      <x:c r="V88" s="4" t="s">
        <x:v>45</x:v>
      </x:c>
      <x:c r="W88" s="4" t="s">
        <x:v>46</x:v>
      </x:c>
      <x:c r="X88" s="4"/>
      <x:c r="Y88" s="4"/>
      <x:c r="Z88" s="4"/>
    </x:row>
    <x:row r="89" customFormat="false" ht="78" hidden="false" customHeight="true" outlineLevel="0" collapsed="false">
      <x:c r="A89" s="4" t="s">
        <x:v>28</x:v>
      </x:c>
      <x:c r="B89" s="5" t="s">
        <x:v>643</x:v>
      </x:c>
      <x:c r="C89" s="4" t="s">
        <x:v>604</x:v>
      </x:c>
      <x:c r="D89" s="4" t="s">
        <x:v>605</x:v>
      </x:c>
      <x:c r="E89" s="4" t="s">
        <x:v>110</x:v>
      </x:c>
      <x:c r="F89" s="4" t="s">
        <x:v>33</x:v>
      </x:c>
      <x:c r="G89" s="4" t="s">
        <x:v>111</x:v>
      </x:c>
      <x:c r="H89" s="4" t="s">
        <x:v>95</x:v>
      </x:c>
      <x:c r="I89" s="4" t="s">
        <x:v>644</x:v>
      </x:c>
      <x:c r="J89" s="4" t="s">
        <x:v>37</x:v>
      </x:c>
      <x:c r="K89" s="4" t="s">
        <x:v>79</x:v>
      </x:c>
      <x:c r="L89" s="4" t="s">
        <x:v>645</x:v>
      </x:c>
      <x:c r="M89" s="4" t="s">
        <x:v>646</x:v>
      </x:c>
      <x:c r="N89" s="4" t="s">
        <x:v>647</x:v>
      </x:c>
      <x:c r="O89" s="4" t="s">
        <x:v>42</x:v>
      </x:c>
      <x:c r="P89" s="4"/>
      <x:c r="Q89" s="4" t="s">
        <x:v>648</x:v>
      </x:c>
      <x:c r="R89" s="6" t="s">
        <x:v>84</x:v>
      </x:c>
      <x:c r="S89" s="4"/>
      <x:c r="T89" s="4"/>
      <x:c r="U89" s="6"/>
      <x:c r="V89" s="4" t="s">
        <x:v>45</x:v>
      </x:c>
      <x:c r="W89" s="4" t="s">
        <x:v>46</x:v>
      </x:c>
      <x:c r="X89" s="4"/>
      <x:c r="Y89" s="4"/>
      <x:c r="Z89" s="4"/>
    </x:row>
    <x:row r="90" customFormat="false" ht="78" hidden="false" customHeight="true" outlineLevel="0" collapsed="false">
      <x:c r="A90" s="4" t="s">
        <x:v>28</x:v>
      </x:c>
      <x:c r="B90" s="5" t="s">
        <x:v>649</x:v>
      </x:c>
      <x:c r="C90" s="4" t="s">
        <x:v>604</x:v>
      </x:c>
      <x:c r="D90" s="4" t="s">
        <x:v>605</x:v>
      </x:c>
      <x:c r="E90" s="4" t="s">
        <x:v>110</x:v>
      </x:c>
      <x:c r="F90" s="4" t="s">
        <x:v>33</x:v>
      </x:c>
      <x:c r="G90" s="4" t="s">
        <x:v>111</x:v>
      </x:c>
      <x:c r="H90" s="4" t="s">
        <x:v>95</x:v>
      </x:c>
      <x:c r="I90" s="4" t="s">
        <x:v>650</x:v>
      </x:c>
      <x:c r="J90" s="4" t="s">
        <x:v>37</x:v>
      </x:c>
      <x:c r="K90" s="4" t="s">
        <x:v>584</x:v>
      </x:c>
      <x:c r="L90" s="4" t="s">
        <x:v>651</x:v>
      </x:c>
      <x:c r="M90" s="4" t="s">
        <x:v>652</x:v>
      </x:c>
      <x:c r="N90" s="4" t="s">
        <x:v>653</x:v>
      </x:c>
      <x:c r="O90" s="4" t="s">
        <x:v>42</x:v>
      </x:c>
      <x:c r="P90" s="4"/>
      <x:c r="Q90" s="4" t="s">
        <x:v>654</x:v>
      </x:c>
      <x:c r="R90" s="6" t="s">
        <x:v>589</x:v>
      </x:c>
      <x:c r="S90" s="4"/>
      <x:c r="T90" s="4"/>
      <x:c r="U90" s="6"/>
      <x:c r="V90" s="4" t="s">
        <x:v>45</x:v>
      </x:c>
      <x:c r="W90" s="4" t="s">
        <x:v>46</x:v>
      </x:c>
      <x:c r="X90" s="4"/>
      <x:c r="Y90" s="4"/>
      <x:c r="Z90" s="4"/>
    </x:row>
    <x:row r="91" customFormat="false" ht="78" hidden="false" customHeight="true" outlineLevel="0" collapsed="false">
      <x:c r="A91" s="4" t="s">
        <x:v>28</x:v>
      </x:c>
      <x:c r="B91" s="5" t="s">
        <x:v>655</x:v>
      </x:c>
      <x:c r="C91" s="4" t="s">
        <x:v>604</x:v>
      </x:c>
      <x:c r="D91" s="4" t="s">
        <x:v>605</x:v>
      </x:c>
      <x:c r="E91" s="4" t="s">
        <x:v>110</x:v>
      </x:c>
      <x:c r="F91" s="4" t="s">
        <x:v>33</x:v>
      </x:c>
      <x:c r="G91" s="4" t="s">
        <x:v>111</x:v>
      </x:c>
      <x:c r="H91" s="4" t="s">
        <x:v>95</x:v>
      </x:c>
      <x:c r="I91" s="4" t="s">
        <x:v>656</x:v>
      </x:c>
      <x:c r="J91" s="4" t="s">
        <x:v>338</x:v>
      </x:c>
      <x:c r="K91" s="4" t="s">
        <x:v>79</x:v>
      </x:c>
      <x:c r="L91" s="4" t="s">
        <x:v>657</x:v>
      </x:c>
      <x:c r="M91" s="4" t="s">
        <x:v>658</x:v>
      </x:c>
      <x:c r="N91" s="4" t="s">
        <x:v>659</x:v>
      </x:c>
      <x:c r="O91" s="4" t="s">
        <x:v>42</x:v>
      </x:c>
      <x:c r="P91" s="4"/>
      <x:c r="Q91" s="4" t="s">
        <x:v>660</x:v>
      </x:c>
      <x:c r="R91" s="6" t="s">
        <x:v>84</x:v>
      </x:c>
      <x:c r="S91" s="4"/>
      <x:c r="T91" s="4"/>
      <x:c r="U91" s="6"/>
      <x:c r="V91" s="4" t="s">
        <x:v>45</x:v>
      </x:c>
      <x:c r="W91" s="4" t="s">
        <x:v>46</x:v>
      </x:c>
      <x:c r="X91" s="4"/>
      <x:c r="Y91" s="4"/>
      <x:c r="Z91" s="4"/>
    </x:row>
    <x:row r="92" customFormat="false" ht="78" hidden="false" customHeight="true" outlineLevel="0" collapsed="false">
      <x:c r="A92" s="4" t="s">
        <x:v>28</x:v>
      </x:c>
      <x:c r="B92" s="5" t="s">
        <x:v>661</x:v>
      </x:c>
      <x:c r="C92" s="4" t="s">
        <x:v>604</x:v>
      </x:c>
      <x:c r="D92" s="4" t="s">
        <x:v>605</x:v>
      </x:c>
      <x:c r="E92" s="4" t="s">
        <x:v>110</x:v>
      </x:c>
      <x:c r="F92" s="4" t="s">
        <x:v>33</x:v>
      </x:c>
      <x:c r="G92" s="4" t="s">
        <x:v>111</x:v>
      </x:c>
      <x:c r="H92" s="4" t="s">
        <x:v>95</x:v>
      </x:c>
      <x:c r="I92" s="4" t="s">
        <x:v>662</x:v>
      </x:c>
      <x:c r="J92" s="4" t="s">
        <x:v>37</x:v>
      </x:c>
      <x:c r="K92" s="4" t="s">
        <x:v>584</x:v>
      </x:c>
      <x:c r="L92" s="4" t="s">
        <x:v>663</x:v>
      </x:c>
      <x:c r="M92" s="4" t="s">
        <x:v>664</x:v>
      </x:c>
      <x:c r="N92" s="4" t="s">
        <x:v>665</x:v>
      </x:c>
      <x:c r="O92" s="4" t="s">
        <x:v>42</x:v>
      </x:c>
      <x:c r="P92" s="4"/>
      <x:c r="Q92" s="4" t="s">
        <x:v>666</x:v>
      </x:c>
      <x:c r="R92" s="6" t="s">
        <x:v>589</x:v>
      </x:c>
      <x:c r="S92" s="4" t="s">
        <x:v>79</x:v>
      </x:c>
      <x:c r="T92" s="4" t="s">
        <x:v>517</x:v>
      </x:c>
      <x:c r="U92" s="6" t="s">
        <x:v>84</x:v>
      </x:c>
      <x:c r="V92" s="4" t="s">
        <x:v>45</x:v>
      </x:c>
      <x:c r="W92" s="4" t="s">
        <x:v>46</x:v>
      </x:c>
      <x:c r="X92" s="4"/>
      <x:c r="Y92" s="4"/>
      <x:c r="Z92" s="4"/>
    </x:row>
    <x:row r="93" customFormat="false" ht="78" hidden="false" customHeight="true" outlineLevel="0" collapsed="false">
      <x:c r="A93" s="4" t="s">
        <x:v>28</x:v>
      </x:c>
      <x:c r="B93" s="5" t="s">
        <x:v>667</x:v>
      </x:c>
      <x:c r="C93" s="4" t="s">
        <x:v>668</x:v>
      </x:c>
      <x:c r="D93" s="4" t="s">
        <x:v>31</x:v>
      </x:c>
      <x:c r="E93" s="4" t="s">
        <x:v>32</x:v>
      </x:c>
      <x:c r="F93" s="4" t="s">
        <x:v>33</x:v>
      </x:c>
      <x:c r="G93" s="4" t="s">
        <x:v>34</x:v>
      </x:c>
      <x:c r="H93" s="4" t="s">
        <x:v>35</x:v>
      </x:c>
      <x:c r="I93" s="4" t="s">
        <x:v>669</x:v>
      </x:c>
      <x:c r="J93" s="4" t="s">
        <x:v>37</x:v>
      </x:c>
      <x:c r="K93" s="4" t="s">
        <x:v>79</x:v>
      </x:c>
      <x:c r="L93" s="4" t="s">
        <x:v>670</x:v>
      </x:c>
      <x:c r="M93" s="4" t="s">
        <x:v>671</x:v>
      </x:c>
      <x:c r="N93" s="4" t="s">
        <x:v>672</x:v>
      </x:c>
      <x:c r="O93" s="4" t="s">
        <x:v>42</x:v>
      </x:c>
      <x:c r="P93" s="4"/>
      <x:c r="Q93" s="4" t="s">
        <x:v>673</x:v>
      </x:c>
      <x:c r="R93" s="6" t="s">
        <x:v>84</x:v>
      </x:c>
      <x:c r="S93" s="4"/>
      <x:c r="T93" s="4"/>
      <x:c r="U93" s="6"/>
      <x:c r="V93" s="4" t="s">
        <x:v>45</x:v>
      </x:c>
      <x:c r="W93" s="4" t="s">
        <x:v>46</x:v>
      </x:c>
      <x:c r="X93" s="4"/>
      <x:c r="Y93" s="4"/>
      <x:c r="Z93" s="4"/>
    </x:row>
    <x:row r="94" customFormat="false" ht="78" hidden="false" customHeight="true" outlineLevel="0" collapsed="false">
      <x:c r="A94" s="4" t="s">
        <x:v>28</x:v>
      </x:c>
      <x:c r="B94" s="5" t="s">
        <x:v>674</x:v>
      </x:c>
      <x:c r="C94" s="4" t="s">
        <x:v>668</x:v>
      </x:c>
      <x:c r="D94" s="4" t="s">
        <x:v>31</x:v>
      </x:c>
      <x:c r="E94" s="4" t="s">
        <x:v>32</x:v>
      </x:c>
      <x:c r="F94" s="4" t="s">
        <x:v>33</x:v>
      </x:c>
      <x:c r="G94" s="4" t="s">
        <x:v>34</x:v>
      </x:c>
      <x:c r="H94" s="4" t="s">
        <x:v>35</x:v>
      </x:c>
      <x:c r="I94" s="4" t="s">
        <x:v>675</x:v>
      </x:c>
      <x:c r="J94" s="4" t="s">
        <x:v>37</x:v>
      </x:c>
      <x:c r="K94" s="4" t="s">
        <x:v>38</x:v>
      </x:c>
      <x:c r="L94" s="4" t="s">
        <x:v>676</x:v>
      </x:c>
      <x:c r="M94" s="4" t="s">
        <x:v>677</x:v>
      </x:c>
      <x:c r="N94" s="4" t="s">
        <x:v>678</x:v>
      </x:c>
      <x:c r="O94" s="4" t="s">
        <x:v>42</x:v>
      </x:c>
      <x:c r="P94" s="4"/>
      <x:c r="Q94" s="4" t="s">
        <x:v>679</x:v>
      </x:c>
      <x:c r="R94" s="6" t="s">
        <x:v>44</x:v>
      </x:c>
      <x:c r="S94" s="4" t="s">
        <x:v>79</x:v>
      </x:c>
      <x:c r="T94" s="4" t="s">
        <x:v>680</x:v>
      </x:c>
      <x:c r="U94" s="6" t="s">
        <x:v>84</x:v>
      </x:c>
      <x:c r="V94" s="4" t="s">
        <x:v>45</x:v>
      </x:c>
      <x:c r="W94" s="4" t="s">
        <x:v>46</x:v>
      </x:c>
      <x:c r="X94" s="4"/>
      <x:c r="Y94" s="4"/>
      <x:c r="Z94" s="4"/>
    </x:row>
    <x:row r="95" customFormat="false" ht="78" hidden="false" customHeight="true" outlineLevel="0" collapsed="false">
      <x:c r="A95" s="4" t="s">
        <x:v>28</x:v>
      </x:c>
      <x:c r="B95" s="5" t="s">
        <x:v>681</x:v>
      </x:c>
      <x:c r="C95" s="4" t="s">
        <x:v>668</x:v>
      </x:c>
      <x:c r="D95" s="4" t="s">
        <x:v>31</x:v>
      </x:c>
      <x:c r="E95" s="4" t="s">
        <x:v>32</x:v>
      </x:c>
      <x:c r="F95" s="4" t="s">
        <x:v>33</x:v>
      </x:c>
      <x:c r="G95" s="4" t="s">
        <x:v>34</x:v>
      </x:c>
      <x:c r="H95" s="4" t="s">
        <x:v>35</x:v>
      </x:c>
      <x:c r="I95" s="4" t="s">
        <x:v>682</x:v>
      </x:c>
      <x:c r="J95" s="4" t="s">
        <x:v>338</x:v>
      </x:c>
      <x:c r="K95" s="4" t="s">
        <x:v>79</x:v>
      </x:c>
      <x:c r="L95" s="4" t="s">
        <x:v>683</x:v>
      </x:c>
      <x:c r="M95" s="4" t="s">
        <x:v>684</x:v>
      </x:c>
      <x:c r="N95" s="4" t="s">
        <x:v>685</x:v>
      </x:c>
      <x:c r="O95" s="4" t="s">
        <x:v>42</x:v>
      </x:c>
      <x:c r="P95" s="4"/>
      <x:c r="Q95" s="4" t="s">
        <x:v>686</x:v>
      </x:c>
      <x:c r="R95" s="6" t="s">
        <x:v>84</x:v>
      </x:c>
      <x:c r="S95" s="4"/>
      <x:c r="T95" s="4"/>
      <x:c r="U95" s="6"/>
      <x:c r="V95" s="4" t="s">
        <x:v>45</x:v>
      </x:c>
      <x:c r="W95" s="4" t="s">
        <x:v>46</x:v>
      </x:c>
      <x:c r="X95" s="4"/>
      <x:c r="Y95" s="4"/>
      <x:c r="Z95" s="4"/>
    </x:row>
    <x:row r="96" customFormat="false" ht="78" hidden="false" customHeight="true" outlineLevel="0" collapsed="false">
      <x:c r="A96" s="4" t="s">
        <x:v>28</x:v>
      </x:c>
      <x:c r="B96" s="5" t="s">
        <x:v>687</x:v>
      </x:c>
      <x:c r="C96" s="4" t="s">
        <x:v>668</x:v>
      </x:c>
      <x:c r="D96" s="4" t="s">
        <x:v>31</x:v>
      </x:c>
      <x:c r="E96" s="4" t="s">
        <x:v>233</x:v>
      </x:c>
      <x:c r="F96" s="4" t="s">
        <x:v>33</x:v>
      </x:c>
      <x:c r="G96" s="4" t="s">
        <x:v>234</x:v>
      </x:c>
      <x:c r="H96" s="4" t="s">
        <x:v>95</x:v>
      </x:c>
      <x:c r="I96" s="4" t="s">
        <x:v>688</x:v>
      </x:c>
      <x:c r="J96" s="4" t="s">
        <x:v>338</x:v>
      </x:c>
      <x:c r="K96" s="4" t="s">
        <x:v>79</x:v>
      </x:c>
      <x:c r="L96" s="4" t="s">
        <x:v>689</x:v>
      </x:c>
      <x:c r="M96" s="4" t="s">
        <x:v>690</x:v>
      </x:c>
      <x:c r="N96" s="4" t="s">
        <x:v>691</x:v>
      </x:c>
      <x:c r="O96" s="4" t="s">
        <x:v>42</x:v>
      </x:c>
      <x:c r="P96" s="4"/>
      <x:c r="Q96" s="4" t="s">
        <x:v>692</x:v>
      </x:c>
      <x:c r="R96" s="6" t="s">
        <x:v>84</x:v>
      </x:c>
      <x:c r="S96" s="4"/>
      <x:c r="T96" s="4"/>
      <x:c r="U96" s="6"/>
      <x:c r="V96" s="4" t="s">
        <x:v>45</x:v>
      </x:c>
      <x:c r="W96" s="4" t="s">
        <x:v>46</x:v>
      </x:c>
      <x:c r="X96" s="4"/>
      <x:c r="Y96" s="4"/>
      <x:c r="Z96" s="4"/>
    </x:row>
    <x:row r="97" customFormat="false" ht="78" hidden="false" customHeight="true" outlineLevel="0" collapsed="false">
      <x:c r="A97" s="4" t="s">
        <x:v>28</x:v>
      </x:c>
      <x:c r="B97" s="5" t="s">
        <x:v>693</x:v>
      </x:c>
      <x:c r="C97" s="4" t="s">
        <x:v>668</x:v>
      </x:c>
      <x:c r="D97" s="4" t="s">
        <x:v>31</x:v>
      </x:c>
      <x:c r="E97" s="4" t="s">
        <x:v>32</x:v>
      </x:c>
      <x:c r="F97" s="4" t="s">
        <x:v>33</x:v>
      </x:c>
      <x:c r="G97" s="4" t="s">
        <x:v>34</x:v>
      </x:c>
      <x:c r="H97" s="4" t="s">
        <x:v>35</x:v>
      </x:c>
      <x:c r="I97" s="4" t="s">
        <x:v>694</x:v>
      </x:c>
      <x:c r="J97" s="4" t="s">
        <x:v>37</x:v>
      </x:c>
      <x:c r="K97" s="4" t="s">
        <x:v>79</x:v>
      </x:c>
      <x:c r="L97" s="4" t="s">
        <x:v>695</x:v>
      </x:c>
      <x:c r="M97" s="4" t="s">
        <x:v>696</x:v>
      </x:c>
      <x:c r="N97" s="4" t="s">
        <x:v>697</x:v>
      </x:c>
      <x:c r="O97" s="4" t="s">
        <x:v>42</x:v>
      </x:c>
      <x:c r="P97" s="4"/>
      <x:c r="Q97" s="4" t="s">
        <x:v>698</x:v>
      </x:c>
      <x:c r="R97" s="6" t="s">
        <x:v>84</x:v>
      </x:c>
      <x:c r="S97" s="4"/>
      <x:c r="T97" s="4"/>
      <x:c r="U97" s="6"/>
      <x:c r="V97" s="4" t="s">
        <x:v>45</x:v>
      </x:c>
      <x:c r="W97" s="4" t="s">
        <x:v>46</x:v>
      </x:c>
      <x:c r="X97" s="4"/>
      <x:c r="Y97" s="4"/>
      <x:c r="Z97" s="4"/>
    </x:row>
    <x:row r="98" customFormat="false" ht="78" hidden="false" customHeight="true" outlineLevel="0" collapsed="false">
      <x:c r="A98" s="4" t="s">
        <x:v>28</x:v>
      </x:c>
      <x:c r="B98" s="5" t="s">
        <x:v>699</x:v>
      </x:c>
      <x:c r="C98" s="4" t="s">
        <x:v>668</x:v>
      </x:c>
      <x:c r="D98" s="4" t="s">
        <x:v>31</x:v>
      </x:c>
      <x:c r="E98" s="4" t="s">
        <x:v>32</x:v>
      </x:c>
      <x:c r="F98" s="4" t="s">
        <x:v>33</x:v>
      </x:c>
      <x:c r="G98" s="4" t="s">
        <x:v>34</x:v>
      </x:c>
      <x:c r="H98" s="4" t="s">
        <x:v>35</x:v>
      </x:c>
      <x:c r="I98" s="4" t="s">
        <x:v>700</x:v>
      </x:c>
      <x:c r="J98" s="4" t="s">
        <x:v>37</x:v>
      </x:c>
      <x:c r="K98" s="4" t="s">
        <x:v>79</x:v>
      </x:c>
      <x:c r="L98" s="4" t="s">
        <x:v>701</x:v>
      </x:c>
      <x:c r="M98" s="4" t="s">
        <x:v>702</x:v>
      </x:c>
      <x:c r="N98" s="4" t="s">
        <x:v>703</x:v>
      </x:c>
      <x:c r="O98" s="4" t="s">
        <x:v>42</x:v>
      </x:c>
      <x:c r="P98" s="4"/>
      <x:c r="Q98" s="4" t="s">
        <x:v>704</x:v>
      </x:c>
      <x:c r="R98" s="6" t="s">
        <x:v>84</x:v>
      </x:c>
      <x:c r="S98" s="4"/>
      <x:c r="T98" s="4"/>
      <x:c r="U98" s="6"/>
      <x:c r="V98" s="4" t="s">
        <x:v>45</x:v>
      </x:c>
      <x:c r="W98" s="4" t="s">
        <x:v>46</x:v>
      </x:c>
      <x:c r="X98" s="4"/>
      <x:c r="Y98" s="4"/>
      <x:c r="Z98" s="4"/>
    </x:row>
    <x:row r="99" customFormat="false" ht="78" hidden="false" customHeight="true" outlineLevel="0" collapsed="false">
      <x:c r="A99" s="4" t="s">
        <x:v>28</x:v>
      </x:c>
      <x:c r="B99" s="5" t="s">
        <x:v>705</x:v>
      </x:c>
      <x:c r="C99" s="4" t="s">
        <x:v>668</x:v>
      </x:c>
      <x:c r="D99" s="4" t="s">
        <x:v>31</x:v>
      </x:c>
      <x:c r="E99" s="4" t="s">
        <x:v>32</x:v>
      </x:c>
      <x:c r="F99" s="4" t="s">
        <x:v>33</x:v>
      </x:c>
      <x:c r="G99" s="4" t="s">
        <x:v>34</x:v>
      </x:c>
      <x:c r="H99" s="4" t="s">
        <x:v>35</x:v>
      </x:c>
      <x:c r="I99" s="4" t="s">
        <x:v>706</x:v>
      </x:c>
      <x:c r="J99" s="4" t="s">
        <x:v>37</x:v>
      </x:c>
      <x:c r="K99" s="4" t="s">
        <x:v>79</x:v>
      </x:c>
      <x:c r="L99" s="4" t="s">
        <x:v>707</x:v>
      </x:c>
      <x:c r="M99" s="4" t="s">
        <x:v>708</x:v>
      </x:c>
      <x:c r="N99" s="4" t="s">
        <x:v>709</x:v>
      </x:c>
      <x:c r="O99" s="4" t="s">
        <x:v>42</x:v>
      </x:c>
      <x:c r="P99" s="4"/>
      <x:c r="Q99" s="4" t="s">
        <x:v>710</x:v>
      </x:c>
      <x:c r="R99" s="6" t="s">
        <x:v>84</x:v>
      </x:c>
      <x:c r="S99" s="4"/>
      <x:c r="T99" s="4"/>
      <x:c r="U99" s="6"/>
      <x:c r="V99" s="4" t="s">
        <x:v>45</x:v>
      </x:c>
      <x:c r="W99" s="4" t="s">
        <x:v>46</x:v>
      </x:c>
      <x:c r="X99" s="4"/>
      <x:c r="Y99" s="4"/>
      <x:c r="Z99" s="4"/>
    </x:row>
    <x:row r="100" customFormat="false" ht="78" hidden="false" customHeight="true" outlineLevel="0" collapsed="false">
      <x:c r="A100" s="4" t="s">
        <x:v>28</x:v>
      </x:c>
      <x:c r="B100" s="5" t="s">
        <x:v>711</x:v>
      </x:c>
      <x:c r="C100" s="4" t="s">
        <x:v>668</x:v>
      </x:c>
      <x:c r="D100" s="4" t="s">
        <x:v>31</x:v>
      </x:c>
      <x:c r="E100" s="4" t="s">
        <x:v>32</x:v>
      </x:c>
      <x:c r="F100" s="4" t="s">
        <x:v>33</x:v>
      </x:c>
      <x:c r="G100" s="4" t="s">
        <x:v>34</x:v>
      </x:c>
      <x:c r="H100" s="4" t="s">
        <x:v>35</x:v>
      </x:c>
      <x:c r="I100" s="4" t="s">
        <x:v>712</x:v>
      </x:c>
      <x:c r="J100" s="4" t="s">
        <x:v>37</x:v>
      </x:c>
      <x:c r="K100" s="4" t="s">
        <x:v>79</x:v>
      </x:c>
      <x:c r="L100" s="4" t="s">
        <x:v>713</x:v>
      </x:c>
      <x:c r="M100" s="4" t="s">
        <x:v>714</x:v>
      </x:c>
      <x:c r="N100" s="4" t="s">
        <x:v>715</x:v>
      </x:c>
      <x:c r="O100" s="4" t="s">
        <x:v>42</x:v>
      </x:c>
      <x:c r="P100" s="4"/>
      <x:c r="Q100" s="4" t="s">
        <x:v>716</x:v>
      </x:c>
      <x:c r="R100" s="6" t="s">
        <x:v>84</x:v>
      </x:c>
      <x:c r="S100" s="4"/>
      <x:c r="T100" s="4"/>
      <x:c r="U100" s="6"/>
      <x:c r="V100" s="4" t="s">
        <x:v>45</x:v>
      </x:c>
      <x:c r="W100" s="4" t="s">
        <x:v>46</x:v>
      </x:c>
      <x:c r="X100" s="4"/>
      <x:c r="Y100" s="4"/>
      <x:c r="Z100" s="4"/>
    </x:row>
    <x:row r="101" customFormat="false" ht="78" hidden="false" customHeight="true" outlineLevel="0" collapsed="false">
      <x:c r="A101" s="4" t="s">
        <x:v>28</x:v>
      </x:c>
      <x:c r="B101" s="5" t="s">
        <x:v>717</x:v>
      </x:c>
      <x:c r="C101" s="4" t="s">
        <x:v>668</x:v>
      </x:c>
      <x:c r="D101" s="4" t="s">
        <x:v>31</x:v>
      </x:c>
      <x:c r="E101" s="4" t="s">
        <x:v>32</x:v>
      </x:c>
      <x:c r="F101" s="4" t="s">
        <x:v>33</x:v>
      </x:c>
      <x:c r="G101" s="4" t="s">
        <x:v>34</x:v>
      </x:c>
      <x:c r="H101" s="4" t="s">
        <x:v>35</x:v>
      </x:c>
      <x:c r="I101" s="4" t="s">
        <x:v>718</x:v>
      </x:c>
      <x:c r="J101" s="4" t="s">
        <x:v>37</x:v>
      </x:c>
      <x:c r="K101" s="4" t="s">
        <x:v>79</x:v>
      </x:c>
      <x:c r="L101" s="4" t="s">
        <x:v>719</x:v>
      </x:c>
      <x:c r="M101" s="4" t="s">
        <x:v>720</x:v>
      </x:c>
      <x:c r="N101" s="4" t="s">
        <x:v>721</x:v>
      </x:c>
      <x:c r="O101" s="4" t="s">
        <x:v>42</x:v>
      </x:c>
      <x:c r="P101" s="4"/>
      <x:c r="Q101" s="4" t="s">
        <x:v>722</x:v>
      </x:c>
      <x:c r="R101" s="6" t="s">
        <x:v>84</x:v>
      </x:c>
      <x:c r="S101" s="4" t="s">
        <x:v>74</x:v>
      </x:c>
      <x:c r="T101" s="4" t="s">
        <x:v>124</x:v>
      </x:c>
      <x:c r="U101" s="6" t="s">
        <x:v>76</x:v>
      </x:c>
      <x:c r="V101" s="4" t="s">
        <x:v>45</x:v>
      </x:c>
      <x:c r="W101" s="4" t="s">
        <x:v>46</x:v>
      </x:c>
      <x:c r="X101" s="4"/>
      <x:c r="Y101" s="4"/>
      <x:c r="Z101" s="4"/>
    </x:row>
    <x:row r="102" customFormat="false" ht="78" hidden="false" customHeight="true" outlineLevel="0" collapsed="false">
      <x:c r="A102" s="4" t="s">
        <x:v>28</x:v>
      </x:c>
      <x:c r="B102" s="5" t="s">
        <x:v>723</x:v>
      </x:c>
      <x:c r="C102" s="4" t="s">
        <x:v>668</x:v>
      </x:c>
      <x:c r="D102" s="4" t="s">
        <x:v>31</x:v>
      </x:c>
      <x:c r="E102" s="4" t="s">
        <x:v>32</x:v>
      </x:c>
      <x:c r="F102" s="4" t="s">
        <x:v>33</x:v>
      </x:c>
      <x:c r="G102" s="4" t="s">
        <x:v>34</x:v>
      </x:c>
      <x:c r="H102" s="4" t="s">
        <x:v>35</x:v>
      </x:c>
      <x:c r="I102" s="4" t="s">
        <x:v>724</x:v>
      </x:c>
      <x:c r="J102" s="4" t="s">
        <x:v>37</x:v>
      </x:c>
      <x:c r="K102" s="4" t="s">
        <x:v>74</x:v>
      </x:c>
      <x:c r="L102" s="4" t="s">
        <x:v>108</x:v>
      </x:c>
      <x:c r="M102" s="4" t="s">
        <x:v>725</x:v>
      </x:c>
      <x:c r="N102" s="4" t="s">
        <x:v>726</x:v>
      </x:c>
      <x:c r="O102" s="4" t="s">
        <x:v>42</x:v>
      </x:c>
      <x:c r="P102" s="4"/>
      <x:c r="Q102" s="4" t="s">
        <x:v>727</x:v>
      </x:c>
      <x:c r="R102" s="6" t="s">
        <x:v>76</x:v>
      </x:c>
      <x:c r="S102" s="4" t="s">
        <x:v>38</x:v>
      </x:c>
      <x:c r="T102" s="4" t="s">
        <x:v>104</x:v>
      </x:c>
      <x:c r="U102" s="6" t="s">
        <x:v>44</x:v>
      </x:c>
      <x:c r="V102" s="4" t="s">
        <x:v>45</x:v>
      </x:c>
      <x:c r="W102" s="4" t="s">
        <x:v>46</x:v>
      </x:c>
      <x:c r="X102" s="4"/>
      <x:c r="Y102" s="4"/>
      <x:c r="Z102" s="4"/>
    </x:row>
    <x:row r="103" customFormat="false" ht="78" hidden="false" customHeight="true" outlineLevel="0" collapsed="false">
      <x:c r="A103" s="4" t="s">
        <x:v>28</x:v>
      </x:c>
      <x:c r="B103" s="5" t="s">
        <x:v>728</x:v>
      </x:c>
      <x:c r="C103" s="4" t="s">
        <x:v>668</x:v>
      </x:c>
      <x:c r="D103" s="4" t="s">
        <x:v>31</x:v>
      </x:c>
      <x:c r="E103" s="4" t="s">
        <x:v>32</x:v>
      </x:c>
      <x:c r="F103" s="4" t="s">
        <x:v>33</x:v>
      </x:c>
      <x:c r="G103" s="4" t="s">
        <x:v>34</x:v>
      </x:c>
      <x:c r="H103" s="4" t="s">
        <x:v>35</x:v>
      </x:c>
      <x:c r="I103" s="4" t="s">
        <x:v>729</x:v>
      </x:c>
      <x:c r="J103" s="4" t="s">
        <x:v>37</x:v>
      </x:c>
      <x:c r="K103" s="4" t="s">
        <x:v>79</x:v>
      </x:c>
      <x:c r="L103" s="4" t="s">
        <x:v>730</x:v>
      </x:c>
      <x:c r="M103" s="4" t="s">
        <x:v>731</x:v>
      </x:c>
      <x:c r="N103" s="4" t="s">
        <x:v>732</x:v>
      </x:c>
      <x:c r="O103" s="4" t="s">
        <x:v>42</x:v>
      </x:c>
      <x:c r="P103" s="4"/>
      <x:c r="Q103" s="4" t="s">
        <x:v>733</x:v>
      </x:c>
      <x:c r="R103" s="6" t="s">
        <x:v>84</x:v>
      </x:c>
      <x:c r="S103" s="4"/>
      <x:c r="T103" s="4"/>
      <x:c r="U103" s="6"/>
      <x:c r="V103" s="4" t="s">
        <x:v>45</x:v>
      </x:c>
      <x:c r="W103" s="4" t="s">
        <x:v>46</x:v>
      </x:c>
      <x:c r="X103" s="4"/>
      <x:c r="Y103" s="4"/>
      <x:c r="Z103" s="4"/>
    </x:row>
    <x:row r="104" customFormat="false" ht="78" hidden="false" customHeight="true" outlineLevel="0" collapsed="false">
      <x:c r="A104" s="4" t="s">
        <x:v>28</x:v>
      </x:c>
      <x:c r="B104" s="5" t="s">
        <x:v>734</x:v>
      </x:c>
      <x:c r="C104" s="4" t="s">
        <x:v>668</x:v>
      </x:c>
      <x:c r="D104" s="4" t="s">
        <x:v>31</x:v>
      </x:c>
      <x:c r="E104" s="4" t="s">
        <x:v>32</x:v>
      </x:c>
      <x:c r="F104" s="4" t="s">
        <x:v>33</x:v>
      </x:c>
      <x:c r="G104" s="4" t="s">
        <x:v>34</x:v>
      </x:c>
      <x:c r="H104" s="4" t="s">
        <x:v>35</x:v>
      </x:c>
      <x:c r="I104" s="4" t="s">
        <x:v>735</x:v>
      </x:c>
      <x:c r="J104" s="4" t="s">
        <x:v>37</x:v>
      </x:c>
      <x:c r="K104" s="4" t="s">
        <x:v>79</x:v>
      </x:c>
      <x:c r="L104" s="4" t="s">
        <x:v>736</x:v>
      </x:c>
      <x:c r="M104" s="4" t="s">
        <x:v>737</x:v>
      </x:c>
      <x:c r="N104" s="4" t="s">
        <x:v>738</x:v>
      </x:c>
      <x:c r="O104" s="4" t="s">
        <x:v>42</x:v>
      </x:c>
      <x:c r="P104" s="4"/>
      <x:c r="Q104" s="4" t="s">
        <x:v>739</x:v>
      </x:c>
      <x:c r="R104" s="6" t="s">
        <x:v>84</x:v>
      </x:c>
      <x:c r="S104" s="4"/>
      <x:c r="T104" s="4"/>
      <x:c r="U104" s="6"/>
      <x:c r="V104" s="4" t="s">
        <x:v>45</x:v>
      </x:c>
      <x:c r="W104" s="4" t="s">
        <x:v>46</x:v>
      </x:c>
      <x:c r="X104" s="4"/>
      <x:c r="Y104" s="4"/>
      <x:c r="Z104" s="4"/>
    </x:row>
    <x:row r="105" customFormat="false" ht="78" hidden="false" customHeight="true" outlineLevel="0" collapsed="false">
      <x:c r="A105" s="4" t="s">
        <x:v>28</x:v>
      </x:c>
      <x:c r="B105" s="5" t="s">
        <x:v>740</x:v>
      </x:c>
      <x:c r="C105" s="4" t="s">
        <x:v>668</x:v>
      </x:c>
      <x:c r="D105" s="4" t="s">
        <x:v>31</x:v>
      </x:c>
      <x:c r="E105" s="4" t="s">
        <x:v>32</x:v>
      </x:c>
      <x:c r="F105" s="4" t="s">
        <x:v>33</x:v>
      </x:c>
      <x:c r="G105" s="4" t="s">
        <x:v>34</x:v>
      </x:c>
      <x:c r="H105" s="4" t="s">
        <x:v>35</x:v>
      </x:c>
      <x:c r="I105" s="4" t="s">
        <x:v>741</x:v>
      </x:c>
      <x:c r="J105" s="4" t="s">
        <x:v>37</x:v>
      </x:c>
      <x:c r="K105" s="4" t="s">
        <x:v>742</x:v>
      </x:c>
      <x:c r="L105" s="4" t="s">
        <x:v>743</x:v>
      </x:c>
      <x:c r="M105" s="4" t="s">
        <x:v>744</x:v>
      </x:c>
      <x:c r="N105" s="4" t="s">
        <x:v>745</x:v>
      </x:c>
      <x:c r="O105" s="4" t="s">
        <x:v>42</x:v>
      </x:c>
      <x:c r="P105" s="4"/>
      <x:c r="Q105" s="4" t="s">
        <x:v>746</x:v>
      </x:c>
      <x:c r="R105" s="6" t="s">
        <x:v>747</x:v>
      </x:c>
      <x:c r="S105" s="4" t="s">
        <x:v>748</x:v>
      </x:c>
      <x:c r="T105" s="4" t="s">
        <x:v>749</x:v>
      </x:c>
      <x:c r="U105" s="6" t="s">
        <x:v>750</x:v>
      </x:c>
      <x:c r="V105" s="4" t="s">
        <x:v>45</x:v>
      </x:c>
      <x:c r="W105" s="4" t="s">
        <x:v>46</x:v>
      </x:c>
      <x:c r="X105" s="4"/>
      <x:c r="Y105" s="4"/>
      <x:c r="Z105" s="4"/>
    </x:row>
    <x:row r="106" customFormat="false" ht="78" hidden="false" customHeight="true" outlineLevel="0" collapsed="false">
      <x:c r="A106" s="4" t="s">
        <x:v>28</x:v>
      </x:c>
      <x:c r="B106" s="5" t="s">
        <x:v>751</x:v>
      </x:c>
      <x:c r="C106" s="4" t="s">
        <x:v>668</x:v>
      </x:c>
      <x:c r="D106" s="4" t="s">
        <x:v>31</x:v>
      </x:c>
      <x:c r="E106" s="4" t="s">
        <x:v>32</x:v>
      </x:c>
      <x:c r="F106" s="4" t="s">
        <x:v>33</x:v>
      </x:c>
      <x:c r="G106" s="4" t="s">
        <x:v>34</x:v>
      </x:c>
      <x:c r="H106" s="4" t="s">
        <x:v>35</x:v>
      </x:c>
      <x:c r="I106" s="4" t="s">
        <x:v>752</x:v>
      </x:c>
      <x:c r="J106" s="4" t="s">
        <x:v>37</x:v>
      </x:c>
      <x:c r="K106" s="4" t="s">
        <x:v>74</x:v>
      </x:c>
      <x:c r="L106" s="4" t="s">
        <x:v>753</x:v>
      </x:c>
      <x:c r="M106" s="4" t="s">
        <x:v>754</x:v>
      </x:c>
      <x:c r="N106" s="4" t="s">
        <x:v>755</x:v>
      </x:c>
      <x:c r="O106" s="4" t="s">
        <x:v>42</x:v>
      </x:c>
      <x:c r="P106" s="4"/>
      <x:c r="Q106" s="4" t="s">
        <x:v>756</x:v>
      </x:c>
      <x:c r="R106" s="6" t="s">
        <x:v>76</x:v>
      </x:c>
      <x:c r="S106" s="4" t="s">
        <x:v>79</x:v>
      </x:c>
      <x:c r="T106" s="4" t="s">
        <x:v>757</x:v>
      </x:c>
      <x:c r="U106" s="6" t="s">
        <x:v>84</x:v>
      </x:c>
      <x:c r="V106" s="4" t="s">
        <x:v>45</x:v>
      </x:c>
      <x:c r="W106" s="4" t="s">
        <x:v>46</x:v>
      </x:c>
      <x:c r="X106" s="4"/>
      <x:c r="Y106" s="4"/>
      <x:c r="Z106" s="4"/>
    </x:row>
    <x:row r="107" customFormat="false" ht="78" hidden="false" customHeight="true" outlineLevel="0" collapsed="false">
      <x:c r="A107" s="4" t="s">
        <x:v>28</x:v>
      </x:c>
      <x:c r="B107" s="5" t="s">
        <x:v>758</x:v>
      </x:c>
      <x:c r="C107" s="4" t="s">
        <x:v>759</x:v>
      </x:c>
      <x:c r="D107" s="4" t="s">
        <x:v>760</x:v>
      </x:c>
      <x:c r="E107" s="4" t="s">
        <x:v>32</x:v>
      </x:c>
      <x:c r="F107" s="4" t="s">
        <x:v>33</x:v>
      </x:c>
      <x:c r="G107" s="4" t="s">
        <x:v>34</x:v>
      </x:c>
      <x:c r="H107" s="4" t="s">
        <x:v>35</x:v>
      </x:c>
      <x:c r="I107" s="4" t="s">
        <x:v>761</x:v>
      </x:c>
      <x:c r="J107" s="4" t="s">
        <x:v>37</x:v>
      </x:c>
      <x:c r="K107" s="4" t="s">
        <x:v>79</x:v>
      </x:c>
      <x:c r="L107" s="4" t="s">
        <x:v>762</x:v>
      </x:c>
      <x:c r="M107" s="4" t="s">
        <x:v>763</x:v>
      </x:c>
      <x:c r="N107" s="4" t="s">
        <x:v>764</x:v>
      </x:c>
      <x:c r="O107" s="4" t="s">
        <x:v>42</x:v>
      </x:c>
      <x:c r="P107" s="4"/>
      <x:c r="Q107" s="4" t="s">
        <x:v>765</x:v>
      </x:c>
      <x:c r="R107" s="6" t="s">
        <x:v>84</x:v>
      </x:c>
      <x:c r="S107" s="4"/>
      <x:c r="T107" s="4"/>
      <x:c r="U107" s="6"/>
      <x:c r="V107" s="4" t="s">
        <x:v>45</x:v>
      </x:c>
      <x:c r="W107" s="4" t="s">
        <x:v>46</x:v>
      </x:c>
      <x:c r="X107" s="4"/>
      <x:c r="Y107" s="4"/>
      <x:c r="Z107" s="4"/>
    </x:row>
    <x:row r="108" customFormat="false" ht="78" hidden="false" customHeight="true" outlineLevel="0" collapsed="false">
      <x:c r="A108" s="4" t="s">
        <x:v>28</x:v>
      </x:c>
      <x:c r="B108" s="5" t="s">
        <x:v>766</x:v>
      </x:c>
      <x:c r="C108" s="4" t="s">
        <x:v>759</x:v>
      </x:c>
      <x:c r="D108" s="4" t="s">
        <x:v>760</x:v>
      </x:c>
      <x:c r="E108" s="4" t="s">
        <x:v>32</x:v>
      </x:c>
      <x:c r="F108" s="4" t="s">
        <x:v>33</x:v>
      </x:c>
      <x:c r="G108" s="4" t="s">
        <x:v>34</x:v>
      </x:c>
      <x:c r="H108" s="4" t="s">
        <x:v>35</x:v>
      </x:c>
      <x:c r="I108" s="4" t="s">
        <x:v>767</x:v>
      </x:c>
      <x:c r="J108" s="4" t="s">
        <x:v>37</x:v>
      </x:c>
      <x:c r="K108" s="4" t="s">
        <x:v>79</x:v>
      </x:c>
      <x:c r="L108" s="4" t="s">
        <x:v>768</x:v>
      </x:c>
      <x:c r="M108" s="4" t="s">
        <x:v>769</x:v>
      </x:c>
      <x:c r="N108" s="4" t="s">
        <x:v>770</x:v>
      </x:c>
      <x:c r="O108" s="4" t="s">
        <x:v>42</x:v>
      </x:c>
      <x:c r="P108" s="4"/>
      <x:c r="Q108" s="4" t="s">
        <x:v>771</x:v>
      </x:c>
      <x:c r="R108" s="6" t="s">
        <x:v>84</x:v>
      </x:c>
      <x:c r="S108" s="4" t="s">
        <x:v>61</x:v>
      </x:c>
      <x:c r="T108" s="4" t="s">
        <x:v>128</x:v>
      </x:c>
      <x:c r="U108" s="6" t="s">
        <x:v>132</x:v>
      </x:c>
      <x:c r="V108" s="4" t="s">
        <x:v>45</x:v>
      </x:c>
      <x:c r="W108" s="4" t="s">
        <x:v>46</x:v>
      </x:c>
      <x:c r="X108" s="4"/>
      <x:c r="Y108" s="4"/>
      <x:c r="Z108" s="4"/>
    </x:row>
    <x:row r="109" customFormat="false" ht="78" hidden="false" customHeight="true" outlineLevel="0" collapsed="false">
      <x:c r="A109" s="4" t="s">
        <x:v>28</x:v>
      </x:c>
      <x:c r="B109" s="5" t="s">
        <x:v>772</x:v>
      </x:c>
      <x:c r="C109" s="4" t="s">
        <x:v>759</x:v>
      </x:c>
      <x:c r="D109" s="4" t="s">
        <x:v>760</x:v>
      </x:c>
      <x:c r="E109" s="4" t="s">
        <x:v>32</x:v>
      </x:c>
      <x:c r="F109" s="4" t="s">
        <x:v>33</x:v>
      </x:c>
      <x:c r="G109" s="4" t="s">
        <x:v>34</x:v>
      </x:c>
      <x:c r="H109" s="4" t="s">
        <x:v>35</x:v>
      </x:c>
      <x:c r="I109" s="4" t="s">
        <x:v>773</x:v>
      </x:c>
      <x:c r="J109" s="4" t="s">
        <x:v>37</x:v>
      </x:c>
      <x:c r="K109" s="4" t="s">
        <x:v>79</x:v>
      </x:c>
      <x:c r="L109" s="4" t="s">
        <x:v>774</x:v>
      </x:c>
      <x:c r="M109" s="4" t="s">
        <x:v>775</x:v>
      </x:c>
      <x:c r="N109" s="4" t="s">
        <x:v>776</x:v>
      </x:c>
      <x:c r="O109" s="4" t="s">
        <x:v>42</x:v>
      </x:c>
      <x:c r="P109" s="4"/>
      <x:c r="Q109" s="4" t="s">
        <x:v>777</x:v>
      </x:c>
      <x:c r="R109" s="6" t="s">
        <x:v>84</x:v>
      </x:c>
      <x:c r="S109" s="4"/>
      <x:c r="T109" s="4"/>
      <x:c r="U109" s="6"/>
      <x:c r="V109" s="4" t="s">
        <x:v>45</x:v>
      </x:c>
      <x:c r="W109" s="4" t="s">
        <x:v>46</x:v>
      </x:c>
      <x:c r="X109" s="4"/>
      <x:c r="Y109" s="4"/>
      <x:c r="Z109" s="4"/>
    </x:row>
    <x:row r="110" customFormat="false" ht="78" hidden="false" customHeight="true" outlineLevel="0" collapsed="false">
      <x:c r="A110" s="4" t="s">
        <x:v>28</x:v>
      </x:c>
      <x:c r="B110" s="5" t="s">
        <x:v>778</x:v>
      </x:c>
      <x:c r="C110" s="4" t="s">
        <x:v>759</x:v>
      </x:c>
      <x:c r="D110" s="4" t="s">
        <x:v>760</x:v>
      </x:c>
      <x:c r="E110" s="4" t="s">
        <x:v>32</x:v>
      </x:c>
      <x:c r="F110" s="4" t="s">
        <x:v>33</x:v>
      </x:c>
      <x:c r="G110" s="4" t="s">
        <x:v>34</x:v>
      </x:c>
      <x:c r="H110" s="4" t="s">
        <x:v>35</x:v>
      </x:c>
      <x:c r="I110" s="4" t="s">
        <x:v>779</x:v>
      </x:c>
      <x:c r="J110" s="4" t="s">
        <x:v>37</x:v>
      </x:c>
      <x:c r="K110" s="4" t="s">
        <x:v>38</x:v>
      </x:c>
      <x:c r="L110" s="4" t="s">
        <x:v>780</x:v>
      </x:c>
      <x:c r="M110" s="4" t="s">
        <x:v>781</x:v>
      </x:c>
      <x:c r="N110" s="4" t="s">
        <x:v>782</x:v>
      </x:c>
      <x:c r="O110" s="4" t="s">
        <x:v>42</x:v>
      </x:c>
      <x:c r="P110" s="4"/>
      <x:c r="Q110" s="4" t="s">
        <x:v>783</x:v>
      </x:c>
      <x:c r="R110" s="6" t="s">
        <x:v>44</x:v>
      </x:c>
      <x:c r="S110" s="4" t="s">
        <x:v>61</x:v>
      </x:c>
      <x:c r="T110" s="4" t="s">
        <x:v>784</x:v>
      </x:c>
      <x:c r="U110" s="6" t="s">
        <x:v>464</x:v>
      </x:c>
      <x:c r="V110" s="4" t="s">
        <x:v>45</x:v>
      </x:c>
      <x:c r="W110" s="4" t="s">
        <x:v>46</x:v>
      </x:c>
      <x:c r="X110" s="4"/>
      <x:c r="Y110" s="4"/>
      <x:c r="Z110" s="4"/>
    </x:row>
    <x:row r="111" customFormat="false" ht="78" hidden="false" customHeight="true" outlineLevel="0" collapsed="false">
      <x:c r="A111" s="4" t="s">
        <x:v>28</x:v>
      </x:c>
      <x:c r="B111" s="5" t="s">
        <x:v>785</x:v>
      </x:c>
      <x:c r="C111" s="4" t="s">
        <x:v>759</x:v>
      </x:c>
      <x:c r="D111" s="4" t="s">
        <x:v>760</x:v>
      </x:c>
      <x:c r="E111" s="4" t="s">
        <x:v>32</x:v>
      </x:c>
      <x:c r="F111" s="4" t="s">
        <x:v>33</x:v>
      </x:c>
      <x:c r="G111" s="4" t="s">
        <x:v>34</x:v>
      </x:c>
      <x:c r="H111" s="4" t="s">
        <x:v>35</x:v>
      </x:c>
      <x:c r="I111" s="4" t="s">
        <x:v>786</x:v>
      </x:c>
      <x:c r="J111" s="4" t="s">
        <x:v>37</x:v>
      </x:c>
      <x:c r="K111" s="4" t="s">
        <x:v>524</x:v>
      </x:c>
      <x:c r="L111" s="4" t="s">
        <x:v>787</x:v>
      </x:c>
      <x:c r="M111" s="4" t="s">
        <x:v>788</x:v>
      </x:c>
      <x:c r="N111" s="4" t="s">
        <x:v>789</x:v>
      </x:c>
      <x:c r="O111" s="4" t="s">
        <x:v>42</x:v>
      </x:c>
      <x:c r="P111" s="4"/>
      <x:c r="Q111" s="4" t="s">
        <x:v>790</x:v>
      </x:c>
      <x:c r="R111" s="6" t="s">
        <x:v>791</x:v>
      </x:c>
      <x:c r="S111" s="4" t="s">
        <x:v>79</x:v>
      </x:c>
      <x:c r="T111" s="4" t="s">
        <x:v>792</x:v>
      </x:c>
      <x:c r="U111" s="6" t="s">
        <x:v>84</x:v>
      </x:c>
      <x:c r="V111" s="4" t="s">
        <x:v>45</x:v>
      </x:c>
      <x:c r="W111" s="4" t="s">
        <x:v>46</x:v>
      </x:c>
      <x:c r="X111" s="4"/>
      <x:c r="Y111" s="4"/>
      <x:c r="Z111" s="4"/>
    </x:row>
    <x:row r="112" customFormat="false" ht="78" hidden="false" customHeight="true" outlineLevel="0" collapsed="false">
      <x:c r="A112" s="4" t="s">
        <x:v>28</x:v>
      </x:c>
      <x:c r="B112" s="5" t="s">
        <x:v>793</x:v>
      </x:c>
      <x:c r="C112" s="4" t="s">
        <x:v>759</x:v>
      </x:c>
      <x:c r="D112" s="4" t="s">
        <x:v>760</x:v>
      </x:c>
      <x:c r="E112" s="4" t="s">
        <x:v>32</x:v>
      </x:c>
      <x:c r="F112" s="4" t="s">
        <x:v>33</x:v>
      </x:c>
      <x:c r="G112" s="4" t="s">
        <x:v>34</x:v>
      </x:c>
      <x:c r="H112" s="4" t="s">
        <x:v>35</x:v>
      </x:c>
      <x:c r="I112" s="4" t="s">
        <x:v>794</x:v>
      </x:c>
      <x:c r="J112" s="4" t="s">
        <x:v>37</x:v>
      </x:c>
      <x:c r="K112" s="4" t="s">
        <x:v>79</x:v>
      </x:c>
      <x:c r="L112" s="4" t="s">
        <x:v>774</x:v>
      </x:c>
      <x:c r="M112" s="4" t="s">
        <x:v>795</x:v>
      </x:c>
      <x:c r="N112" s="4" t="s">
        <x:v>796</x:v>
      </x:c>
      <x:c r="O112" s="4" t="s">
        <x:v>42</x:v>
      </x:c>
      <x:c r="P112" s="4"/>
      <x:c r="Q112" s="4" t="s">
        <x:v>797</x:v>
      </x:c>
      <x:c r="R112" s="6" t="s">
        <x:v>84</x:v>
      </x:c>
      <x:c r="S112" s="4"/>
      <x:c r="T112" s="4"/>
      <x:c r="U112" s="6"/>
      <x:c r="V112" s="4" t="s">
        <x:v>45</x:v>
      </x:c>
      <x:c r="W112" s="4" t="s">
        <x:v>46</x:v>
      </x:c>
      <x:c r="X112" s="4"/>
      <x:c r="Y112" s="4"/>
      <x:c r="Z112" s="4"/>
    </x:row>
    <x:row r="113" customFormat="false" ht="78" hidden="false" customHeight="true" outlineLevel="0" collapsed="false">
      <x:c r="A113" s="4" t="s">
        <x:v>28</x:v>
      </x:c>
      <x:c r="B113" s="5" t="s">
        <x:v>798</x:v>
      </x:c>
      <x:c r="C113" s="4" t="s">
        <x:v>759</x:v>
      </x:c>
      <x:c r="D113" s="4" t="s">
        <x:v>760</x:v>
      </x:c>
      <x:c r="E113" s="4" t="s">
        <x:v>32</x:v>
      </x:c>
      <x:c r="F113" s="4" t="s">
        <x:v>33</x:v>
      </x:c>
      <x:c r="G113" s="4" t="s">
        <x:v>34</x:v>
      </x:c>
      <x:c r="H113" s="4" t="s">
        <x:v>35</x:v>
      </x:c>
      <x:c r="I113" s="4" t="s">
        <x:v>799</x:v>
      </x:c>
      <x:c r="J113" s="4" t="s">
        <x:v>37</x:v>
      </x:c>
      <x:c r="K113" s="4" t="s">
        <x:v>38</x:v>
      </x:c>
      <x:c r="L113" s="4" t="s">
        <x:v>800</x:v>
      </x:c>
      <x:c r="M113" s="4" t="s">
        <x:v>801</x:v>
      </x:c>
      <x:c r="N113" s="4" t="s">
        <x:v>802</x:v>
      </x:c>
      <x:c r="O113" s="4" t="s">
        <x:v>42</x:v>
      </x:c>
      <x:c r="P113" s="4"/>
      <x:c r="Q113" s="4" t="s">
        <x:v>803</x:v>
      </x:c>
      <x:c r="R113" s="6" t="s">
        <x:v>44</x:v>
      </x:c>
      <x:c r="S113" s="4" t="s">
        <x:v>369</x:v>
      </x:c>
      <x:c r="T113" s="4" t="s">
        <x:v>804</x:v>
      </x:c>
      <x:c r="U113" s="6" t="s">
        <x:v>374</x:v>
      </x:c>
      <x:c r="V113" s="4" t="s">
        <x:v>45</x:v>
      </x:c>
      <x:c r="W113" s="4" t="s">
        <x:v>46</x:v>
      </x:c>
      <x:c r="X113" s="4"/>
      <x:c r="Y113" s="4"/>
      <x:c r="Z113" s="4"/>
    </x:row>
    <x:row r="114" customFormat="false" ht="78" hidden="false" customHeight="true" outlineLevel="0" collapsed="false">
      <x:c r="A114" s="4" t="s">
        <x:v>28</x:v>
      </x:c>
      <x:c r="B114" s="5" t="s">
        <x:v>805</x:v>
      </x:c>
      <x:c r="C114" s="4" t="s">
        <x:v>759</x:v>
      </x:c>
      <x:c r="D114" s="4" t="s">
        <x:v>760</x:v>
      </x:c>
      <x:c r="E114" s="4" t="s">
        <x:v>32</x:v>
      </x:c>
      <x:c r="F114" s="4" t="s">
        <x:v>33</x:v>
      </x:c>
      <x:c r="G114" s="4" t="s">
        <x:v>34</x:v>
      </x:c>
      <x:c r="H114" s="4" t="s">
        <x:v>35</x:v>
      </x:c>
      <x:c r="I114" s="4" t="s">
        <x:v>806</x:v>
      </x:c>
      <x:c r="J114" s="4" t="s">
        <x:v>37</x:v>
      </x:c>
      <x:c r="K114" s="4" t="s">
        <x:v>38</x:v>
      </x:c>
      <x:c r="L114" s="4" t="s">
        <x:v>807</x:v>
      </x:c>
      <x:c r="M114" s="4" t="s">
        <x:v>808</x:v>
      </x:c>
      <x:c r="N114" s="4" t="s">
        <x:v>809</x:v>
      </x:c>
      <x:c r="O114" s="4" t="s">
        <x:v>42</x:v>
      </x:c>
      <x:c r="P114" s="4"/>
      <x:c r="Q114" s="4" t="s">
        <x:v>810</x:v>
      </x:c>
      <x:c r="R114" s="6" t="s">
        <x:v>44</x:v>
      </x:c>
      <x:c r="S114" s="4"/>
      <x:c r="T114" s="4"/>
      <x:c r="U114" s="6"/>
      <x:c r="V114" s="4" t="s">
        <x:v>45</x:v>
      </x:c>
      <x:c r="W114" s="4" t="s">
        <x:v>46</x:v>
      </x:c>
      <x:c r="X114" s="4"/>
      <x:c r="Y114" s="4"/>
      <x:c r="Z114" s="4"/>
    </x:row>
    <x:row r="115" customFormat="false" ht="78" hidden="false" customHeight="true" outlineLevel="0" collapsed="false">
      <x:c r="A115" s="4" t="s">
        <x:v>28</x:v>
      </x:c>
      <x:c r="B115" s="5" t="s">
        <x:v>811</x:v>
      </x:c>
      <x:c r="C115" s="4" t="s">
        <x:v>759</x:v>
      </x:c>
      <x:c r="D115" s="4" t="s">
        <x:v>760</x:v>
      </x:c>
      <x:c r="E115" s="4" t="s">
        <x:v>32</x:v>
      </x:c>
      <x:c r="F115" s="4" t="s">
        <x:v>33</x:v>
      </x:c>
      <x:c r="G115" s="4" t="s">
        <x:v>34</x:v>
      </x:c>
      <x:c r="H115" s="4" t="s">
        <x:v>35</x:v>
      </x:c>
      <x:c r="I115" s="4" t="s">
        <x:v>812</x:v>
      </x:c>
      <x:c r="J115" s="4" t="s">
        <x:v>37</x:v>
      </x:c>
      <x:c r="K115" s="4" t="s">
        <x:v>813</x:v>
      </x:c>
      <x:c r="L115" s="4" t="s">
        <x:v>814</x:v>
      </x:c>
      <x:c r="M115" s="4" t="s">
        <x:v>815</x:v>
      </x:c>
      <x:c r="N115" s="4" t="s">
        <x:v>816</x:v>
      </x:c>
      <x:c r="O115" s="4" t="s">
        <x:v>42</x:v>
      </x:c>
      <x:c r="P115" s="4"/>
      <x:c r="Q115" s="4" t="s">
        <x:v>817</x:v>
      </x:c>
      <x:c r="R115" s="6" t="s">
        <x:v>818</x:v>
      </x:c>
      <x:c r="S115" s="4" t="s">
        <x:v>819</x:v>
      </x:c>
      <x:c r="T115" s="4" t="s">
        <x:v>820</x:v>
      </x:c>
      <x:c r="U115" s="6" t="s">
        <x:v>821</x:v>
      </x:c>
      <x:c r="V115" s="4" t="s">
        <x:v>45</x:v>
      </x:c>
      <x:c r="W115" s="4" t="s">
        <x:v>46</x:v>
      </x:c>
      <x:c r="X115" s="4"/>
      <x:c r="Y115" s="4"/>
      <x:c r="Z115" s="4"/>
    </x:row>
    <x:row r="116" customFormat="false" ht="78" hidden="false" customHeight="true" outlineLevel="0" collapsed="false">
      <x:c r="A116" s="4" t="s">
        <x:v>28</x:v>
      </x:c>
      <x:c r="B116" s="5" t="s">
        <x:v>822</x:v>
      </x:c>
      <x:c r="C116" s="4" t="s">
        <x:v>759</x:v>
      </x:c>
      <x:c r="D116" s="4" t="s">
        <x:v>760</x:v>
      </x:c>
      <x:c r="E116" s="4" t="s">
        <x:v>32</x:v>
      </x:c>
      <x:c r="F116" s="4" t="s">
        <x:v>33</x:v>
      </x:c>
      <x:c r="G116" s="4" t="s">
        <x:v>34</x:v>
      </x:c>
      <x:c r="H116" s="4" t="s">
        <x:v>35</x:v>
      </x:c>
      <x:c r="I116" s="4" t="s">
        <x:v>823</x:v>
      </x:c>
      <x:c r="J116" s="4" t="s">
        <x:v>338</x:v>
      </x:c>
      <x:c r="K116" s="4" t="s">
        <x:v>79</x:v>
      </x:c>
      <x:c r="L116" s="4" t="s">
        <x:v>824</x:v>
      </x:c>
      <x:c r="M116" s="4" t="s">
        <x:v>825</x:v>
      </x:c>
      <x:c r="N116" s="4" t="s">
        <x:v>826</x:v>
      </x:c>
      <x:c r="O116" s="4" t="s">
        <x:v>42</x:v>
      </x:c>
      <x:c r="P116" s="4"/>
      <x:c r="Q116" s="4" t="s">
        <x:v>827</x:v>
      </x:c>
      <x:c r="R116" s="6" t="s">
        <x:v>84</x:v>
      </x:c>
      <x:c r="S116" s="4"/>
      <x:c r="T116" s="4"/>
      <x:c r="U116" s="6"/>
      <x:c r="V116" s="4" t="s">
        <x:v>45</x:v>
      </x:c>
      <x:c r="W116" s="4" t="s">
        <x:v>46</x:v>
      </x:c>
      <x:c r="X116" s="4"/>
      <x:c r="Y116" s="4"/>
      <x:c r="Z116" s="4"/>
    </x:row>
    <x:row r="117" customFormat="false" ht="78" hidden="false" customHeight="true" outlineLevel="0" collapsed="false">
      <x:c r="A117" s="4" t="s">
        <x:v>28</x:v>
      </x:c>
      <x:c r="B117" s="5" t="s">
        <x:v>828</x:v>
      </x:c>
      <x:c r="C117" s="4" t="s">
        <x:v>829</x:v>
      </x:c>
      <x:c r="D117" s="4" t="s">
        <x:v>830</x:v>
      </x:c>
      <x:c r="E117" s="4" t="s">
        <x:v>32</x:v>
      </x:c>
      <x:c r="F117" s="4" t="s">
        <x:v>33</x:v>
      </x:c>
      <x:c r="G117" s="4" t="s">
        <x:v>34</x:v>
      </x:c>
      <x:c r="H117" s="4" t="s">
        <x:v>35</x:v>
      </x:c>
      <x:c r="I117" s="4" t="s">
        <x:v>831</x:v>
      </x:c>
      <x:c r="J117" s="4" t="s">
        <x:v>37</x:v>
      </x:c>
      <x:c r="K117" s="4" t="s">
        <x:v>61</x:v>
      </x:c>
      <x:c r="L117" s="4" t="s">
        <x:v>832</x:v>
      </x:c>
      <x:c r="M117" s="4" t="s">
        <x:v>833</x:v>
      </x:c>
      <x:c r="N117" s="4" t="s">
        <x:v>834</x:v>
      </x:c>
      <x:c r="O117" s="4" t="s">
        <x:v>42</x:v>
      </x:c>
      <x:c r="P117" s="4"/>
      <x:c r="Q117" s="4" t="s">
        <x:v>835</x:v>
      </x:c>
      <x:c r="R117" s="6" t="s">
        <x:v>153</x:v>
      </x:c>
      <x:c r="S117" s="4" t="s">
        <x:v>836</x:v>
      </x:c>
      <x:c r="T117" s="4" t="s">
        <x:v>837</x:v>
      </x:c>
      <x:c r="U117" s="6" t="s">
        <x:v>838</x:v>
      </x:c>
      <x:c r="V117" s="4" t="s">
        <x:v>45</x:v>
      </x:c>
      <x:c r="W117" s="4" t="s">
        <x:v>46</x:v>
      </x:c>
      <x:c r="X117" s="4"/>
      <x:c r="Y117" s="4"/>
      <x:c r="Z117" s="4"/>
    </x:row>
    <x:row r="118" customFormat="false" ht="78" hidden="false" customHeight="true" outlineLevel="0" collapsed="false">
      <x:c r="A118" s="4" t="s">
        <x:v>28</x:v>
      </x:c>
      <x:c r="B118" s="5" t="s">
        <x:v>839</x:v>
      </x:c>
      <x:c r="C118" s="4" t="s">
        <x:v>829</x:v>
      </x:c>
      <x:c r="D118" s="4" t="s">
        <x:v>830</x:v>
      </x:c>
      <x:c r="E118" s="4" t="s">
        <x:v>32</x:v>
      </x:c>
      <x:c r="F118" s="4" t="s">
        <x:v>33</x:v>
      </x:c>
      <x:c r="G118" s="4" t="s">
        <x:v>34</x:v>
      </x:c>
      <x:c r="H118" s="4" t="s">
        <x:v>35</x:v>
      </x:c>
      <x:c r="I118" s="4" t="s">
        <x:v>840</x:v>
      </x:c>
      <x:c r="J118" s="4" t="s">
        <x:v>37</x:v>
      </x:c>
      <x:c r="K118" s="4" t="s">
        <x:v>841</x:v>
      </x:c>
      <x:c r="L118" s="4" t="s">
        <x:v>842</x:v>
      </x:c>
      <x:c r="M118" s="4" t="s">
        <x:v>843</x:v>
      </x:c>
      <x:c r="N118" s="4" t="s">
        <x:v>844</x:v>
      </x:c>
      <x:c r="O118" s="4" t="s">
        <x:v>42</x:v>
      </x:c>
      <x:c r="P118" s="4"/>
      <x:c r="Q118" s="4" t="s">
        <x:v>845</x:v>
      </x:c>
      <x:c r="R118" s="6" t="s">
        <x:v>846</x:v>
      </x:c>
      <x:c r="S118" s="4" t="s">
        <x:v>61</x:v>
      </x:c>
      <x:c r="T118" s="4" t="s">
        <x:v>847</x:v>
      </x:c>
      <x:c r="U118" s="6" t="s">
        <x:v>848</x:v>
      </x:c>
      <x:c r="V118" s="4" t="s">
        <x:v>45</x:v>
      </x:c>
      <x:c r="W118" s="4" t="s">
        <x:v>46</x:v>
      </x:c>
      <x:c r="X118" s="4"/>
      <x:c r="Y118" s="4"/>
      <x:c r="Z118" s="4"/>
    </x:row>
    <x:row r="119" customFormat="false" ht="78" hidden="false" customHeight="true" outlineLevel="0" collapsed="false">
      <x:c r="A119" s="4" t="s">
        <x:v>28</x:v>
      </x:c>
      <x:c r="B119" s="5" t="s">
        <x:v>849</x:v>
      </x:c>
      <x:c r="C119" s="4" t="s">
        <x:v>829</x:v>
      </x:c>
      <x:c r="D119" s="4" t="s">
        <x:v>830</x:v>
      </x:c>
      <x:c r="E119" s="4" t="s">
        <x:v>32</x:v>
      </x:c>
      <x:c r="F119" s="4" t="s">
        <x:v>33</x:v>
      </x:c>
      <x:c r="G119" s="4" t="s">
        <x:v>34</x:v>
      </x:c>
      <x:c r="H119" s="4" t="s">
        <x:v>35</x:v>
      </x:c>
      <x:c r="I119" s="4" t="s">
        <x:v>850</x:v>
      </x:c>
      <x:c r="J119" s="4" t="s">
        <x:v>37</x:v>
      </x:c>
      <x:c r="K119" s="4" t="s">
        <x:v>851</x:v>
      </x:c>
      <x:c r="L119" s="4" t="s">
        <x:v>852</x:v>
      </x:c>
      <x:c r="M119" s="4" t="s">
        <x:v>853</x:v>
      </x:c>
      <x:c r="N119" s="4" t="s">
        <x:v>854</x:v>
      </x:c>
      <x:c r="O119" s="4" t="s">
        <x:v>42</x:v>
      </x:c>
      <x:c r="P119" s="4"/>
      <x:c r="Q119" s="4" t="s">
        <x:v>855</x:v>
      </x:c>
      <x:c r="R119" s="6" t="s">
        <x:v>856</x:v>
      </x:c>
      <x:c r="S119" s="4" t="s">
        <x:v>61</x:v>
      </x:c>
      <x:c r="T119" s="4" t="s">
        <x:v>857</x:v>
      </x:c>
      <x:c r="U119" s="6" t="s">
        <x:v>464</x:v>
      </x:c>
      <x:c r="V119" s="4" t="s">
        <x:v>45</x:v>
      </x:c>
      <x:c r="W119" s="4" t="s">
        <x:v>46</x:v>
      </x:c>
      <x:c r="X119" s="4"/>
      <x:c r="Y119" s="4"/>
      <x:c r="Z119" s="4"/>
    </x:row>
    <x:row r="120" customFormat="false" ht="78" hidden="false" customHeight="true" outlineLevel="0" collapsed="false">
      <x:c r="A120" s="4" t="s">
        <x:v>28</x:v>
      </x:c>
      <x:c r="B120" s="5" t="s">
        <x:v>858</x:v>
      </x:c>
      <x:c r="C120" s="4" t="s">
        <x:v>829</x:v>
      </x:c>
      <x:c r="D120" s="4" t="s">
        <x:v>830</x:v>
      </x:c>
      <x:c r="E120" s="4" t="s">
        <x:v>32</x:v>
      </x:c>
      <x:c r="F120" s="4" t="s">
        <x:v>33</x:v>
      </x:c>
      <x:c r="G120" s="4" t="s">
        <x:v>34</x:v>
      </x:c>
      <x:c r="H120" s="4" t="s">
        <x:v>35</x:v>
      </x:c>
      <x:c r="I120" s="4" t="s">
        <x:v>859</x:v>
      </x:c>
      <x:c r="J120" s="4" t="s">
        <x:v>37</x:v>
      </x:c>
      <x:c r="K120" s="4" t="s">
        <x:v>860</x:v>
      </x:c>
      <x:c r="L120" s="4" t="s">
        <x:v>861</x:v>
      </x:c>
      <x:c r="M120" s="4" t="s">
        <x:v>862</x:v>
      </x:c>
      <x:c r="N120" s="4" t="s">
        <x:v>863</x:v>
      </x:c>
      <x:c r="O120" s="4" t="s">
        <x:v>42</x:v>
      </x:c>
      <x:c r="P120" s="4"/>
      <x:c r="Q120" s="4" t="s">
        <x:v>864</x:v>
      </x:c>
      <x:c r="R120" s="6" t="s">
        <x:v>865</x:v>
      </x:c>
      <x:c r="S120" s="4" t="s">
        <x:v>866</x:v>
      </x:c>
      <x:c r="T120" s="4" t="s">
        <x:v>867</x:v>
      </x:c>
      <x:c r="U120" s="6" t="s">
        <x:v>868</x:v>
      </x:c>
      <x:c r="V120" s="4" t="s">
        <x:v>45</x:v>
      </x:c>
      <x:c r="W120" s="4" t="s">
        <x:v>46</x:v>
      </x:c>
      <x:c r="X120" s="4"/>
      <x:c r="Y120" s="4"/>
      <x:c r="Z120" s="4"/>
    </x:row>
    <x:row r="121" customFormat="false" ht="78" hidden="false" customHeight="true" outlineLevel="0" collapsed="false">
      <x:c r="A121" s="4" t="s">
        <x:v>28</x:v>
      </x:c>
      <x:c r="B121" s="5" t="s">
        <x:v>869</x:v>
      </x:c>
      <x:c r="C121" s="4" t="s">
        <x:v>829</x:v>
      </x:c>
      <x:c r="D121" s="4" t="s">
        <x:v>830</x:v>
      </x:c>
      <x:c r="E121" s="4" t="s">
        <x:v>32</x:v>
      </x:c>
      <x:c r="F121" s="4" t="s">
        <x:v>33</x:v>
      </x:c>
      <x:c r="G121" s="4" t="s">
        <x:v>34</x:v>
      </x:c>
      <x:c r="H121" s="4" t="s">
        <x:v>35</x:v>
      </x:c>
      <x:c r="I121" s="4" t="s">
        <x:v>870</x:v>
      </x:c>
      <x:c r="J121" s="4" t="s">
        <x:v>37</x:v>
      </x:c>
      <x:c r="K121" s="4" t="s">
        <x:v>369</x:v>
      </x:c>
      <x:c r="L121" s="4" t="s">
        <x:v>804</x:v>
      </x:c>
      <x:c r="M121" s="4" t="s">
        <x:v>871</x:v>
      </x:c>
      <x:c r="N121" s="4" t="s">
        <x:v>872</x:v>
      </x:c>
      <x:c r="O121" s="4" t="s">
        <x:v>42</x:v>
      </x:c>
      <x:c r="P121" s="4"/>
      <x:c r="Q121" s="4" t="s">
        <x:v>873</x:v>
      </x:c>
      <x:c r="R121" s="6" t="s">
        <x:v>874</x:v>
      </x:c>
      <x:c r="S121" s="4" t="s">
        <x:v>866</x:v>
      </x:c>
      <x:c r="T121" s="4" t="s">
        <x:v>875</x:v>
      </x:c>
      <x:c r="U121" s="6" t="s">
        <x:v>876</x:v>
      </x:c>
      <x:c r="V121" s="4" t="s">
        <x:v>45</x:v>
      </x:c>
      <x:c r="W121" s="4" t="s">
        <x:v>46</x:v>
      </x:c>
      <x:c r="X121" s="4"/>
      <x:c r="Y121" s="4"/>
      <x:c r="Z121" s="4"/>
    </x:row>
    <x:row r="122" customFormat="false" ht="78" hidden="false" customHeight="true" outlineLevel="0" collapsed="false">
      <x:c r="A122" s="4" t="s">
        <x:v>28</x:v>
      </x:c>
      <x:c r="B122" s="5" t="s">
        <x:v>877</x:v>
      </x:c>
      <x:c r="C122" s="4" t="s">
        <x:v>829</x:v>
      </x:c>
      <x:c r="D122" s="4" t="s">
        <x:v>830</x:v>
      </x:c>
      <x:c r="E122" s="4" t="s">
        <x:v>32</x:v>
      </x:c>
      <x:c r="F122" s="4" t="s">
        <x:v>33</x:v>
      </x:c>
      <x:c r="G122" s="4" t="s">
        <x:v>34</x:v>
      </x:c>
      <x:c r="H122" s="4" t="s">
        <x:v>35</x:v>
      </x:c>
      <x:c r="I122" s="4" t="s">
        <x:v>878</x:v>
      </x:c>
      <x:c r="J122" s="4" t="s">
        <x:v>37</x:v>
      </x:c>
      <x:c r="K122" s="4" t="s">
        <x:v>748</x:v>
      </x:c>
      <x:c r="L122" s="4" t="s">
        <x:v>749</x:v>
      </x:c>
      <x:c r="M122" s="4" t="s">
        <x:v>879</x:v>
      </x:c>
      <x:c r="N122" s="4" t="s">
        <x:v>880</x:v>
      </x:c>
      <x:c r="O122" s="4" t="s">
        <x:v>42</x:v>
      </x:c>
      <x:c r="P122" s="4"/>
      <x:c r="Q122" s="4" t="s">
        <x:v>881</x:v>
      </x:c>
      <x:c r="R122" s="6" t="s">
        <x:v>750</x:v>
      </x:c>
      <x:c r="S122" s="4" t="s">
        <x:v>882</x:v>
      </x:c>
      <x:c r="T122" s="4" t="s">
        <x:v>883</x:v>
      </x:c>
      <x:c r="U122" s="6" t="s">
        <x:v>884</x:v>
      </x:c>
      <x:c r="V122" s="4" t="s">
        <x:v>45</x:v>
      </x:c>
      <x:c r="W122" s="4" t="s">
        <x:v>46</x:v>
      </x:c>
      <x:c r="X122" s="4"/>
      <x:c r="Y122" s="4"/>
      <x:c r="Z122" s="4"/>
    </x:row>
    <x:row r="123" customFormat="false" ht="78" hidden="false" customHeight="true" outlineLevel="0" collapsed="false">
      <x:c r="A123" s="4" t="s">
        <x:v>28</x:v>
      </x:c>
      <x:c r="B123" s="5" t="s">
        <x:v>885</x:v>
      </x:c>
      <x:c r="C123" s="4" t="s">
        <x:v>232</x:v>
      </x:c>
      <x:c r="D123" s="4" t="s">
        <x:v>93</x:v>
      </x:c>
      <x:c r="E123" s="4" t="s">
        <x:v>233</x:v>
      </x:c>
      <x:c r="F123" s="4" t="s">
        <x:v>886</x:v>
      </x:c>
      <x:c r="G123" s="4" t="s">
        <x:v>34</x:v>
      </x:c>
      <x:c r="H123" s="4" t="s">
        <x:v>887</x:v>
      </x:c>
      <x:c r="I123" s="4" t="s">
        <x:v>888</x:v>
      </x:c>
      <x:c r="J123" s="4" t="s">
        <x:v>113</x:v>
      </x:c>
      <x:c r="K123" s="4" t="s">
        <x:v>889</x:v>
      </x:c>
      <x:c r="L123" s="4" t="s">
        <x:v>890</x:v>
      </x:c>
      <x:c r="M123" s="4" t="s">
        <x:v>891</x:v>
      </x:c>
      <x:c r="N123" s="4" t="s">
        <x:v>892</x:v>
      </x:c>
      <x:c r="O123" s="4" t="s">
        <x:v>893</x:v>
      </x:c>
      <x:c r="P123" s="4" t="s">
        <x:v>894</x:v>
      </x:c>
      <x:c r="Q123" s="4" t="s">
        <x:v>895</x:v>
      </x:c>
      <x:c r="R123" s="6" t="s">
        <x:v>896</x:v>
      </x:c>
      <x:c r="S123" s="4" t="s">
        <x:v>897</x:v>
      </x:c>
      <x:c r="T123" s="4" t="s">
        <x:v>585</x:v>
      </x:c>
      <x:c r="U123" s="6" t="s">
        <x:v>898</x:v>
      </x:c>
      <x:c r="V123" s="4" t="s">
        <x:v>899</x:v>
      </x:c>
      <x:c r="W123" s="4" t="s">
        <x:v>46</x:v>
      </x:c>
      <x:c r="X123" s="4"/>
      <x:c r="Y123" s="4"/>
      <x:c r="Z123" s="4"/>
    </x:row>
    <x:row r="124" customFormat="false" ht="78" hidden="false" customHeight="true" outlineLevel="0" collapsed="false">
      <x:c r="A124" s="4" t="s">
        <x:v>28</x:v>
      </x:c>
      <x:c r="B124" s="5" t="s">
        <x:v>900</x:v>
      </x:c>
      <x:c r="C124" s="4" t="s">
        <x:v>232</x:v>
      </x:c>
      <x:c r="D124" s="4" t="s">
        <x:v>93</x:v>
      </x:c>
      <x:c r="E124" s="4" t="s">
        <x:v>233</x:v>
      </x:c>
      <x:c r="F124" s="4" t="s">
        <x:v>901</x:v>
      </x:c>
      <x:c r="G124" s="4" t="s">
        <x:v>34</x:v>
      </x:c>
      <x:c r="H124" s="4" t="s">
        <x:v>95</x:v>
      </x:c>
      <x:c r="I124" s="4" t="s">
        <x:v>902</x:v>
      </x:c>
      <x:c r="J124" s="4" t="s">
        <x:v>113</x:v>
      </x:c>
      <x:c r="K124" s="4" t="s">
        <x:v>38</x:v>
      </x:c>
      <x:c r="L124" s="4" t="s">
        <x:v>903</x:v>
      </x:c>
      <x:c r="M124" s="4" t="s">
        <x:v>904</x:v>
      </x:c>
      <x:c r="N124" s="4" t="s">
        <x:v>905</x:v>
      </x:c>
      <x:c r="O124" s="4" t="s">
        <x:v>906</x:v>
      </x:c>
      <x:c r="P124" s="4" t="s">
        <x:v>907</x:v>
      </x:c>
      <x:c r="Q124" s="4" t="s">
        <x:v>908</x:v>
      </x:c>
      <x:c r="R124" s="6" t="s">
        <x:v>44</x:v>
      </x:c>
      <x:c r="S124" s="4" t="s">
        <x:v>889</x:v>
      </x:c>
      <x:c r="T124" s="4" t="s">
        <x:v>909</x:v>
      </x:c>
      <x:c r="U124" s="6" t="s">
        <x:v>910</x:v>
      </x:c>
      <x:c r="V124" s="4" t="s">
        <x:v>911</x:v>
      </x:c>
      <x:c r="W124" s="4" t="s">
        <x:v>46</x:v>
      </x:c>
      <x:c r="X124" s="4"/>
      <x:c r="Y124" s="4"/>
      <x:c r="Z124" s="4"/>
    </x:row>
    <x:row r="125" customFormat="false" ht="78" hidden="false" customHeight="true" outlineLevel="0" collapsed="false">
      <x:c r="A125" s="4" t="s">
        <x:v>28</x:v>
      </x:c>
      <x:c r="B125" s="5" t="s">
        <x:v>912</x:v>
      </x:c>
      <x:c r="C125" s="4" t="s">
        <x:v>175</x:v>
      </x:c>
      <x:c r="D125" s="4" t="s">
        <x:v>93</x:v>
      </x:c>
      <x:c r="E125" s="4" t="s">
        <x:v>233</x:v>
      </x:c>
      <x:c r="F125" s="4" t="s">
        <x:v>913</x:v>
      </x:c>
      <x:c r="G125" s="4" t="s">
        <x:v>34</x:v>
      </x:c>
      <x:c r="H125" s="4" t="s">
        <x:v>887</x:v>
      </x:c>
      <x:c r="I125" s="4" t="s">
        <x:v>914</x:v>
      </x:c>
      <x:c r="J125" s="4" t="s">
        <x:v>338</x:v>
      </x:c>
      <x:c r="K125" s="4" t="s">
        <x:v>79</x:v>
      </x:c>
      <x:c r="L125" s="4" t="s">
        <x:v>915</x:v>
      </x:c>
      <x:c r="M125" s="4" t="s">
        <x:v>916</x:v>
      </x:c>
      <x:c r="N125" s="4" t="s">
        <x:v>917</x:v>
      </x:c>
      <x:c r="O125" s="4" t="s">
        <x:v>918</x:v>
      </x:c>
      <x:c r="P125" s="4" t="s">
        <x:v>919</x:v>
      </x:c>
      <x:c r="Q125" s="4" t="s">
        <x:v>920</x:v>
      </x:c>
      <x:c r="R125" s="6" t="s">
        <x:v>84</x:v>
      </x:c>
      <x:c r="S125" s="4" t="s">
        <x:v>897</x:v>
      </x:c>
      <x:c r="T125" s="4" t="s">
        <x:v>921</x:v>
      </x:c>
      <x:c r="U125" s="6" t="s">
        <x:v>898</x:v>
      </x:c>
      <x:c r="V125" s="4" t="s">
        <x:v>922</x:v>
      </x:c>
      <x:c r="W125" s="4" t="s">
        <x:v>46</x:v>
      </x:c>
      <x:c r="X125" s="4"/>
      <x:c r="Y125" s="4"/>
      <x:c r="Z125" s="4"/>
    </x:row>
    <x:row r="126" customFormat="false" ht="78" hidden="false" customHeight="true" outlineLevel="0" collapsed="false">
      <x:c r="A126" s="4" t="s">
        <x:v>28</x:v>
      </x:c>
      <x:c r="B126" s="5" t="s">
        <x:v>923</x:v>
      </x:c>
      <x:c r="C126" s="4" t="s">
        <x:v>232</x:v>
      </x:c>
      <x:c r="D126" s="4" t="s">
        <x:v>93</x:v>
      </x:c>
      <x:c r="E126" s="4" t="s">
        <x:v>233</x:v>
      </x:c>
      <x:c r="F126" s="4" t="s">
        <x:v>924</x:v>
      </x:c>
      <x:c r="G126" s="4" t="s">
        <x:v>34</x:v>
      </x:c>
      <x:c r="H126" s="4" t="s">
        <x:v>887</x:v>
      </x:c>
      <x:c r="I126" s="4" t="s">
        <x:v>925</x:v>
      </x:c>
      <x:c r="J126" s="4" t="s">
        <x:v>113</x:v>
      </x:c>
      <x:c r="K126" s="4" t="s">
        <x:v>897</x:v>
      </x:c>
      <x:c r="L126" s="4" t="s">
        <x:v>926</x:v>
      </x:c>
      <x:c r="M126" s="4" t="s">
        <x:v>927</x:v>
      </x:c>
      <x:c r="N126" s="4" t="s">
        <x:v>928</x:v>
      </x:c>
      <x:c r="O126" s="4" t="s">
        <x:v>929</x:v>
      </x:c>
      <x:c r="P126" s="4" t="s">
        <x:v>930</x:v>
      </x:c>
      <x:c r="Q126" s="4" t="s">
        <x:v>931</x:v>
      </x:c>
      <x:c r="R126" s="6" t="s">
        <x:v>898</x:v>
      </x:c>
      <x:c r="S126" s="4" t="s">
        <x:v>253</x:v>
      </x:c>
      <x:c r="T126" s="4" t="s">
        <x:v>272</x:v>
      </x:c>
      <x:c r="U126" s="6" t="s">
        <x:v>258</x:v>
      </x:c>
      <x:c r="V126" s="4" t="s">
        <x:v>932</x:v>
      </x:c>
      <x:c r="W126" s="4" t="s">
        <x:v>46</x:v>
      </x:c>
      <x:c r="X126" s="4"/>
      <x:c r="Y126" s="4"/>
      <x:c r="Z126" s="4"/>
    </x:row>
    <x:row r="127" customFormat="false" ht="78" hidden="false" customHeight="true" outlineLevel="0" collapsed="false">
      <x:c r="A127" s="4" t="s">
        <x:v>28</x:v>
      </x:c>
      <x:c r="B127" s="5" t="s">
        <x:v>933</x:v>
      </x:c>
      <x:c r="C127" s="4" t="s">
        <x:v>30</x:v>
      </x:c>
      <x:c r="D127" s="4" t="s">
        <x:v>93</x:v>
      </x:c>
      <x:c r="E127" s="4" t="s">
        <x:v>233</x:v>
      </x:c>
      <x:c r="F127" s="4" t="s">
        <x:v>934</x:v>
      </x:c>
      <x:c r="G127" s="4" t="s">
        <x:v>34</x:v>
      </x:c>
      <x:c r="H127" s="4" t="s">
        <x:v>95</x:v>
      </x:c>
      <x:c r="I127" s="4" t="s">
        <x:v>935</x:v>
      </x:c>
      <x:c r="J127" s="4" t="s">
        <x:v>37</x:v>
      </x:c>
      <x:c r="K127" s="4" t="s">
        <x:v>38</x:v>
      </x:c>
      <x:c r="L127" s="4" t="s">
        <x:v>800</x:v>
      </x:c>
      <x:c r="M127" s="4" t="s">
        <x:v>936</x:v>
      </x:c>
      <x:c r="N127" s="4" t="s">
        <x:v>937</x:v>
      </x:c>
      <x:c r="O127" s="4" t="s">
        <x:v>938</x:v>
      </x:c>
      <x:c r="P127" s="4" t="s">
        <x:v>939</x:v>
      </x:c>
      <x:c r="Q127" s="4" t="s">
        <x:v>940</x:v>
      </x:c>
      <x:c r="R127" s="6" t="s">
        <x:v>44</x:v>
      </x:c>
      <x:c r="S127" s="4" t="s">
        <x:v>465</x:v>
      </x:c>
      <x:c r="T127" s="4" t="s">
        <x:v>941</x:v>
      </x:c>
      <x:c r="U127" s="6" t="s">
        <x:v>467</x:v>
      </x:c>
      <x:c r="V127" s="4" t="s">
        <x:v>942</x:v>
      </x:c>
      <x:c r="W127" s="4" t="s">
        <x:v>46</x:v>
      </x:c>
      <x:c r="X127" s="4"/>
      <x:c r="Y127" s="4"/>
      <x:c r="Z127" s="4"/>
    </x:row>
    <x:row r="128" customFormat="false" ht="78" hidden="false" customHeight="true" outlineLevel="0" collapsed="false">
      <x:c r="A128" s="4" t="s">
        <x:v>28</x:v>
      </x:c>
      <x:c r="B128" s="5" t="s">
        <x:v>943</x:v>
      </x:c>
      <x:c r="C128" s="4" t="s">
        <x:v>367</x:v>
      </x:c>
      <x:c r="D128" s="4" t="s">
        <x:v>93</x:v>
      </x:c>
      <x:c r="E128" s="4" t="s">
        <x:v>233</x:v>
      </x:c>
      <x:c r="F128" s="4" t="s">
        <x:v>944</x:v>
      </x:c>
      <x:c r="G128" s="4" t="s">
        <x:v>234</x:v>
      </x:c>
      <x:c r="H128" s="4" t="s">
        <x:v>887</x:v>
      </x:c>
      <x:c r="I128" s="4" t="s">
        <x:v>945</x:v>
      </x:c>
      <x:c r="J128" s="4" t="s">
        <x:v>113</x:v>
      </x:c>
      <x:c r="K128" s="4" t="s">
        <x:v>946</x:v>
      </x:c>
      <x:c r="L128" s="4" t="s">
        <x:v>947</x:v>
      </x:c>
      <x:c r="M128" s="4" t="s">
        <x:v>948</x:v>
      </x:c>
      <x:c r="N128" s="4" t="s">
        <x:v>949</x:v>
      </x:c>
      <x:c r="O128" s="4" t="s">
        <x:v>950</x:v>
      </x:c>
      <x:c r="P128" s="4" t="s">
        <x:v>933</x:v>
      </x:c>
      <x:c r="Q128" s="4" t="s">
        <x:v>951</x:v>
      </x:c>
      <x:c r="R128" s="6" t="s">
        <x:v>952</x:v>
      </x:c>
      <x:c r="S128" s="4" t="s">
        <x:v>38</x:v>
      </x:c>
      <x:c r="T128" s="4" t="s">
        <x:v>800</x:v>
      </x:c>
      <x:c r="U128" s="6" t="s">
        <x:v>44</x:v>
      </x:c>
      <x:c r="V128" s="4" t="s">
        <x:v>953</x:v>
      </x:c>
      <x:c r="W128" s="4" t="s">
        <x:v>46</x:v>
      </x:c>
      <x:c r="X128" s="4"/>
      <x:c r="Y128" s="4"/>
      <x:c r="Z128" s="4"/>
    </x:row>
    <x:row r="129" customFormat="false" ht="78" hidden="false" customHeight="true" outlineLevel="0" collapsed="false">
      <x:c r="A129" s="4" t="s">
        <x:v>28</x:v>
      </x:c>
      <x:c r="B129" s="5" t="s">
        <x:v>954</x:v>
      </x:c>
      <x:c r="C129" s="4" t="s">
        <x:v>367</x:v>
      </x:c>
      <x:c r="D129" s="4" t="s">
        <x:v>93</x:v>
      </x:c>
      <x:c r="E129" s="4" t="s">
        <x:v>233</x:v>
      </x:c>
      <x:c r="F129" s="4" t="s">
        <x:v>955</x:v>
      </x:c>
      <x:c r="G129" s="4" t="s">
        <x:v>234</x:v>
      </x:c>
      <x:c r="H129" s="4" t="s">
        <x:v>887</x:v>
      </x:c>
      <x:c r="I129" s="4" t="s">
        <x:v>956</x:v>
      </x:c>
      <x:c r="J129" s="4" t="s">
        <x:v>113</x:v>
      </x:c>
      <x:c r="K129" s="4" t="s">
        <x:v>957</x:v>
      </x:c>
      <x:c r="L129" s="4" t="s">
        <x:v>958</x:v>
      </x:c>
      <x:c r="M129" s="4" t="s">
        <x:v>959</x:v>
      </x:c>
      <x:c r="N129" s="4" t="s">
        <x:v>960</x:v>
      </x:c>
      <x:c r="O129" s="4" t="s">
        <x:v>961</x:v>
      </x:c>
      <x:c r="P129" s="4" t="s">
        <x:v>962</x:v>
      </x:c>
      <x:c r="Q129" s="4" t="s">
        <x:v>963</x:v>
      </x:c>
      <x:c r="R129" s="6" t="s">
        <x:v>964</x:v>
      </x:c>
      <x:c r="S129" s="4" t="s">
        <x:v>38</x:v>
      </x:c>
      <x:c r="T129" s="4" t="s">
        <x:v>800</x:v>
      </x:c>
      <x:c r="U129" s="6" t="s">
        <x:v>44</x:v>
      </x:c>
      <x:c r="V129" s="4" t="s">
        <x:v>965</x:v>
      </x:c>
      <x:c r="W129" s="4" t="s">
        <x:v>46</x:v>
      </x:c>
      <x:c r="X129" s="4"/>
      <x:c r="Y129" s="4"/>
      <x:c r="Z129" s="4"/>
    </x:row>
    <x:row r="130" customFormat="false" ht="78" hidden="false" customHeight="true" outlineLevel="0" collapsed="false">
      <x:c r="A130" s="4" t="s">
        <x:v>28</x:v>
      </x:c>
      <x:c r="B130" s="5" t="s">
        <x:v>966</x:v>
      </x:c>
      <x:c r="C130" s="4" t="s">
        <x:v>126</x:v>
      </x:c>
      <x:c r="D130" s="4" t="s">
        <x:v>93</x:v>
      </x:c>
      <x:c r="E130" s="4" t="s">
        <x:v>233</x:v>
      </x:c>
      <x:c r="F130" s="4" t="s">
        <x:v>967</x:v>
      </x:c>
      <x:c r="G130" s="4" t="s">
        <x:v>234</x:v>
      </x:c>
      <x:c r="H130" s="4" t="s">
        <x:v>95</x:v>
      </x:c>
      <x:c r="I130" s="4" t="s">
        <x:v>968</x:v>
      </x:c>
      <x:c r="J130" s="4" t="s">
        <x:v>338</x:v>
      </x:c>
      <x:c r="K130" s="4" t="s">
        <x:v>897</x:v>
      </x:c>
      <x:c r="L130" s="4" t="s">
        <x:v>969</x:v>
      </x:c>
      <x:c r="M130" s="4" t="s">
        <x:v>970</x:v>
      </x:c>
      <x:c r="N130" s="4" t="s">
        <x:v>971</x:v>
      </x:c>
      <x:c r="O130" s="4" t="s">
        <x:v>972</x:v>
      </x:c>
      <x:c r="P130" s="4" t="s">
        <x:v>973</x:v>
      </x:c>
      <x:c r="Q130" s="4" t="s">
        <x:v>974</x:v>
      </x:c>
      <x:c r="R130" s="6" t="s">
        <x:v>898</x:v>
      </x:c>
      <x:c r="S130" s="4" t="s">
        <x:v>975</x:v>
      </x:c>
      <x:c r="T130" s="4" t="s">
        <x:v>976</x:v>
      </x:c>
      <x:c r="U130" s="6" t="s">
        <x:v>977</x:v>
      </x:c>
      <x:c r="V130" s="4" t="s">
        <x:v>978</x:v>
      </x:c>
      <x:c r="W130" s="4" t="s">
        <x:v>46</x:v>
      </x:c>
      <x:c r="X130" s="4"/>
      <x:c r="Y130" s="4"/>
      <x:c r="Z130" s="4"/>
    </x:row>
    <x:row r="131" customFormat="false" ht="78" hidden="false" customHeight="true" outlineLevel="0" collapsed="false">
      <x:c r="A131" s="4" t="s">
        <x:v>28</x:v>
      </x:c>
      <x:c r="B131" s="5" t="s">
        <x:v>979</x:v>
      </x:c>
      <x:c r="C131" s="4" t="s">
        <x:v>175</x:v>
      </x:c>
      <x:c r="D131" s="4" t="s">
        <x:v>93</x:v>
      </x:c>
      <x:c r="E131" s="4" t="s">
        <x:v>233</x:v>
      </x:c>
      <x:c r="F131" s="4" t="s">
        <x:v>980</x:v>
      </x:c>
      <x:c r="G131" s="4" t="s">
        <x:v>234</x:v>
      </x:c>
      <x:c r="H131" s="4" t="s">
        <x:v>887</x:v>
      </x:c>
      <x:c r="I131" s="4" t="s">
        <x:v>981</x:v>
      </x:c>
      <x:c r="J131" s="4" t="s">
        <x:v>113</x:v>
      </x:c>
      <x:c r="K131" s="4" t="s">
        <x:v>897</x:v>
      </x:c>
      <x:c r="L131" s="4" t="s">
        <x:v>272</x:v>
      </x:c>
      <x:c r="M131" s="4" t="s">
        <x:v>982</x:v>
      </x:c>
      <x:c r="N131" s="4" t="s">
        <x:v>983</x:v>
      </x:c>
      <x:c r="O131" s="4" t="s">
        <x:v>984</x:v>
      </x:c>
      <x:c r="P131" s="4" t="s">
        <x:v>985</x:v>
      </x:c>
      <x:c r="Q131" s="4" t="s">
        <x:v>986</x:v>
      </x:c>
      <x:c r="R131" s="6" t="s">
        <x:v>898</x:v>
      </x:c>
      <x:c r="S131" s="4" t="s">
        <x:v>79</x:v>
      </x:c>
      <x:c r="T131" s="4" t="s">
        <x:v>200</x:v>
      </x:c>
      <x:c r="U131" s="6" t="s">
        <x:v>84</x:v>
      </x:c>
      <x:c r="V131" s="4" t="s">
        <x:v>987</x:v>
      </x:c>
      <x:c r="W131" s="4" t="s">
        <x:v>46</x:v>
      </x:c>
      <x:c r="X131" s="4"/>
      <x:c r="Y131" s="4"/>
      <x:c r="Z131" s="4"/>
    </x:row>
    <x:row r="132" customFormat="false" ht="78" hidden="false" customHeight="true" outlineLevel="0" collapsed="false">
      <x:c r="A132" s="4" t="s">
        <x:v>28</x:v>
      </x:c>
      <x:c r="B132" s="5" t="s">
        <x:v>988</x:v>
      </x:c>
      <x:c r="C132" s="4" t="s">
        <x:v>759</x:v>
      </x:c>
      <x:c r="D132" s="4" t="s">
        <x:v>830</x:v>
      </x:c>
      <x:c r="E132" s="4" t="s">
        <x:v>32</x:v>
      </x:c>
      <x:c r="F132" s="4" t="s">
        <x:v>33</x:v>
      </x:c>
      <x:c r="G132" s="4" t="s">
        <x:v>34</x:v>
      </x:c>
      <x:c r="H132" s="4" t="s">
        <x:v>95</x:v>
      </x:c>
      <x:c r="I132" s="4" t="s">
        <x:v>989</x:v>
      </x:c>
      <x:c r="J132" s="4" t="s">
        <x:v>37</x:v>
      </x:c>
      <x:c r="K132" s="4" t="s">
        <x:v>990</x:v>
      </x:c>
      <x:c r="L132" s="4" t="s">
        <x:v>991</x:v>
      </x:c>
      <x:c r="M132" s="4" t="s">
        <x:v>992</x:v>
      </x:c>
      <x:c r="N132" s="4" t="s">
        <x:v>993</x:v>
      </x:c>
      <x:c r="O132" s="4" t="s">
        <x:v>994</x:v>
      </x:c>
      <x:c r="P132" s="4" t="s">
        <x:v>995</x:v>
      </x:c>
      <x:c r="Q132" s="4" t="s">
        <x:v>996</x:v>
      </x:c>
      <x:c r="R132" s="6" t="s">
        <x:v>997</x:v>
      </x:c>
      <x:c r="S132" s="4" t="s">
        <x:v>882</x:v>
      </x:c>
      <x:c r="T132" s="4" t="s">
        <x:v>883</x:v>
      </x:c>
      <x:c r="U132" s="6" t="s">
        <x:v>884</x:v>
      </x:c>
      <x:c r="V132" s="4" t="s">
        <x:v>45</x:v>
      </x:c>
      <x:c r="W132" s="4" t="s">
        <x:v>46</x:v>
      </x:c>
      <x:c r="X132" s="4"/>
      <x:c r="Y132" s="4"/>
      <x:c r="Z132" s="4"/>
    </x:row>
    <x:row r="133" customFormat="false" ht="78" hidden="false" customHeight="true" outlineLevel="0" collapsed="false">
      <x:c r="A133" s="4" t="s">
        <x:v>28</x:v>
      </x:c>
      <x:c r="B133" s="5" t="s">
        <x:v>998</x:v>
      </x:c>
      <x:c r="C133" s="4" t="s">
        <x:v>759</x:v>
      </x:c>
      <x:c r="D133" s="4" t="s">
        <x:v>830</x:v>
      </x:c>
      <x:c r="E133" s="4" t="s">
        <x:v>32</x:v>
      </x:c>
      <x:c r="F133" s="4" t="s">
        <x:v>33</x:v>
      </x:c>
      <x:c r="G133" s="4" t="s">
        <x:v>234</x:v>
      </x:c>
      <x:c r="H133" s="4" t="s">
        <x:v>35</x:v>
      </x:c>
      <x:c r="I133" s="4" t="s">
        <x:v>999</x:v>
      </x:c>
      <x:c r="J133" s="4" t="s">
        <x:v>37</x:v>
      </x:c>
      <x:c r="K133" s="4" t="s">
        <x:v>1000</x:v>
      </x:c>
      <x:c r="L133" s="4" t="s">
        <x:v>1001</x:v>
      </x:c>
      <x:c r="M133" s="4" t="s">
        <x:v>1002</x:v>
      </x:c>
      <x:c r="N133" s="4" t="s">
        <x:v>1003</x:v>
      </x:c>
      <x:c r="O133" s="4" t="s">
        <x:v>1004</x:v>
      </x:c>
      <x:c r="P133" s="4" t="s">
        <x:v>1005</x:v>
      </x:c>
      <x:c r="Q133" s="4" t="s">
        <x:v>1006</x:v>
      </x:c>
      <x:c r="R133" s="6" t="s">
        <x:v>1007</x:v>
      </x:c>
      <x:c r="S133" s="4" t="s">
        <x:v>990</x:v>
      </x:c>
      <x:c r="T133" s="4" t="s">
        <x:v>991</x:v>
      </x:c>
      <x:c r="U133" s="6" t="s">
        <x:v>997</x:v>
      </x:c>
      <x:c r="V133" s="4" t="s">
        <x:v>45</x:v>
      </x:c>
      <x:c r="W133" s="4" t="s">
        <x:v>46</x:v>
      </x:c>
      <x:c r="X133" s="4"/>
      <x:c r="Y133" s="4"/>
      <x:c r="Z133" s="4"/>
    </x:row>
    <x:row r="134" customFormat="false" ht="78" hidden="false" customHeight="true" outlineLevel="0" collapsed="false">
      <x:c r="A134" s="4" t="s">
        <x:v>28</x:v>
      </x:c>
      <x:c r="B134" s="5" t="s">
        <x:v>1008</x:v>
      </x:c>
      <x:c r="C134" s="4" t="s">
        <x:v>759</x:v>
      </x:c>
      <x:c r="D134" s="4" t="s">
        <x:v>830</x:v>
      </x:c>
      <x:c r="E134" s="4" t="s">
        <x:v>32</x:v>
      </x:c>
      <x:c r="F134" s="4" t="s">
        <x:v>33</x:v>
      </x:c>
      <x:c r="G134" s="4" t="s">
        <x:v>34</x:v>
      </x:c>
      <x:c r="H134" s="4" t="s">
        <x:v>35</x:v>
      </x:c>
      <x:c r="I134" s="4" t="s">
        <x:v>1009</x:v>
      </x:c>
      <x:c r="J134" s="4" t="s">
        <x:v>37</x:v>
      </x:c>
      <x:c r="K134" s="4" t="s">
        <x:v>1010</x:v>
      </x:c>
      <x:c r="L134" s="4" t="s">
        <x:v>1011</x:v>
      </x:c>
      <x:c r="M134" s="4" t="s">
        <x:v>1012</x:v>
      </x:c>
      <x:c r="N134" s="4" t="s">
        <x:v>1013</x:v>
      </x:c>
      <x:c r="O134" s="4" t="s">
        <x:v>1014</x:v>
      </x:c>
      <x:c r="P134" s="4" t="s">
        <x:v>1015</x:v>
      </x:c>
      <x:c r="Q134" s="4" t="s">
        <x:v>1016</x:v>
      </x:c>
      <x:c r="R134" s="6" t="s">
        <x:v>1017</x:v>
      </x:c>
      <x:c r="S134" s="4" t="s">
        <x:v>748</x:v>
      </x:c>
      <x:c r="T134" s="4" t="s">
        <x:v>1018</x:v>
      </x:c>
      <x:c r="U134" s="6" t="s">
        <x:v>750</x:v>
      </x:c>
      <x:c r="V134" s="4" t="s">
        <x:v>45</x:v>
      </x:c>
      <x:c r="W134" s="4" t="s">
        <x:v>46</x:v>
      </x:c>
      <x:c r="X134" s="4"/>
      <x:c r="Y134" s="4"/>
      <x:c r="Z134" s="4"/>
    </x:row>
    <x:row r="135" customFormat="false" ht="78" hidden="false" customHeight="true" outlineLevel="0" collapsed="false">
      <x:c r="A135" s="4" t="s">
        <x:v>28</x:v>
      </x:c>
      <x:c r="B135" s="5" t="s">
        <x:v>1019</x:v>
      </x:c>
      <x:c r="C135" s="4" t="s">
        <x:v>759</x:v>
      </x:c>
      <x:c r="D135" s="4" t="s">
        <x:v>830</x:v>
      </x:c>
      <x:c r="E135" s="4" t="s">
        <x:v>32</x:v>
      </x:c>
      <x:c r="F135" s="4" t="s">
        <x:v>33</x:v>
      </x:c>
      <x:c r="G135" s="4" t="s">
        <x:v>34</x:v>
      </x:c>
      <x:c r="H135" s="4" t="s">
        <x:v>35</x:v>
      </x:c>
      <x:c r="I135" s="4" t="s">
        <x:v>1020</x:v>
      </x:c>
      <x:c r="J135" s="4" t="s">
        <x:v>37</x:v>
      </x:c>
      <x:c r="K135" s="4" t="s">
        <x:v>1021</x:v>
      </x:c>
      <x:c r="L135" s="4" t="s">
        <x:v>1022</x:v>
      </x:c>
      <x:c r="M135" s="4" t="s">
        <x:v>1023</x:v>
      </x:c>
      <x:c r="N135" s="4" t="s">
        <x:v>1024</x:v>
      </x:c>
      <x:c r="O135" s="4" t="s">
        <x:v>1025</x:v>
      </x:c>
      <x:c r="P135" s="4" t="s">
        <x:v>1008</x:v>
      </x:c>
      <x:c r="Q135" s="4" t="s">
        <x:v>1026</x:v>
      </x:c>
      <x:c r="R135" s="6" t="s">
        <x:v>1027</x:v>
      </x:c>
      <x:c r="S135" s="4" t="s">
        <x:v>1028</x:v>
      </x:c>
      <x:c r="T135" s="4" t="s">
        <x:v>1029</x:v>
      </x:c>
      <x:c r="U135" s="6" t="s">
        <x:v>1030</x:v>
      </x:c>
      <x:c r="V135" s="4" t="s">
        <x:v>45</x:v>
      </x:c>
      <x:c r="W135" s="4" t="s">
        <x:v>46</x:v>
      </x:c>
      <x:c r="X135" s="4"/>
      <x:c r="Y135" s="4"/>
      <x:c r="Z135" s="4"/>
    </x:row>
    <x:row r="136" customFormat="false" ht="78" hidden="false" customHeight="true" outlineLevel="0" collapsed="false">
      <x:c r="A136" s="4" t="s">
        <x:v>28</x:v>
      </x:c>
      <x:c r="B136" s="5" t="s">
        <x:v>1031</x:v>
      </x:c>
      <x:c r="C136" s="4" t="s">
        <x:v>759</x:v>
      </x:c>
      <x:c r="D136" s="4" t="s">
        <x:v>830</x:v>
      </x:c>
      <x:c r="E136" s="4" t="s">
        <x:v>233</x:v>
      </x:c>
      <x:c r="F136" s="4" t="s">
        <x:v>33</x:v>
      </x:c>
      <x:c r="G136" s="4" t="s">
        <x:v>234</x:v>
      </x:c>
      <x:c r="H136" s="4" t="s">
        <x:v>95</x:v>
      </x:c>
      <x:c r="I136" s="4" t="s">
        <x:v>1032</x:v>
      </x:c>
      <x:c r="J136" s="4" t="s">
        <x:v>37</x:v>
      </x:c>
      <x:c r="K136" s="4" t="s">
        <x:v>530</x:v>
      </x:c>
      <x:c r="L136" s="4" t="s">
        <x:v>1033</x:v>
      </x:c>
      <x:c r="M136" s="4" t="s">
        <x:v>1034</x:v>
      </x:c>
      <x:c r="N136" s="4" t="s">
        <x:v>1035</x:v>
      </x:c>
      <x:c r="O136" s="4" t="s">
        <x:v>1036</x:v>
      </x:c>
      <x:c r="P136" s="4" t="s">
        <x:v>1037</x:v>
      </x:c>
      <x:c r="Q136" s="4" t="s">
        <x:v>1038</x:v>
      </x:c>
      <x:c r="R136" s="6" t="s">
        <x:v>532</x:v>
      </x:c>
      <x:c r="S136" s="4" t="s">
        <x:v>1039</x:v>
      </x:c>
      <x:c r="T136" s="4" t="s">
        <x:v>1040</x:v>
      </x:c>
      <x:c r="U136" s="6" t="s">
        <x:v>1041</x:v>
      </x:c>
      <x:c r="V136" s="4" t="s">
        <x:v>45</x:v>
      </x:c>
      <x:c r="W136" s="4" t="s">
        <x:v>46</x:v>
      </x:c>
      <x:c r="X136" s="4"/>
      <x:c r="Y136" s="4"/>
      <x:c r="Z136" s="4"/>
    </x:row>
    <x:row r="137" customFormat="false" ht="78" hidden="false" customHeight="true" outlineLevel="0" collapsed="false">
      <x:c r="A137" s="4" t="s">
        <x:v>28</x:v>
      </x:c>
      <x:c r="B137" s="5" t="s">
        <x:v>1042</x:v>
      </x:c>
      <x:c r="C137" s="4" t="s">
        <x:v>759</x:v>
      </x:c>
      <x:c r="D137" s="4" t="s">
        <x:v>830</x:v>
      </x:c>
      <x:c r="E137" s="4" t="s">
        <x:v>233</x:v>
      </x:c>
      <x:c r="F137" s="4" t="s">
        <x:v>33</x:v>
      </x:c>
      <x:c r="G137" s="4" t="s">
        <x:v>234</x:v>
      </x:c>
      <x:c r="H137" s="4" t="s">
        <x:v>887</x:v>
      </x:c>
      <x:c r="I137" s="4" t="s">
        <x:v>1043</x:v>
      </x:c>
      <x:c r="J137" s="4" t="s">
        <x:v>37</x:v>
      </x:c>
      <x:c r="K137" s="4" t="s">
        <x:v>1028</x:v>
      </x:c>
      <x:c r="L137" s="4" t="s">
        <x:v>1044</x:v>
      </x:c>
      <x:c r="M137" s="4" t="s">
        <x:v>1045</x:v>
      </x:c>
      <x:c r="N137" s="4" t="s">
        <x:v>1046</x:v>
      </x:c>
      <x:c r="O137" s="4" t="s">
        <x:v>1047</x:v>
      </x:c>
      <x:c r="P137" s="4" t="s">
        <x:v>1048</x:v>
      </x:c>
      <x:c r="Q137" s="4" t="s">
        <x:v>1049</x:v>
      </x:c>
      <x:c r="R137" s="6" t="s">
        <x:v>1030</x:v>
      </x:c>
      <x:c r="S137" s="4" t="s">
        <x:v>882</x:v>
      </x:c>
      <x:c r="T137" s="4" t="s">
        <x:v>883</x:v>
      </x:c>
      <x:c r="U137" s="6" t="s">
        <x:v>884</x:v>
      </x:c>
      <x:c r="V137" s="4" t="s">
        <x:v>45</x:v>
      </x:c>
      <x:c r="W137" s="4" t="s">
        <x:v>46</x:v>
      </x:c>
      <x:c r="X137" s="4"/>
      <x:c r="Y137" s="4"/>
      <x:c r="Z137" s="4"/>
    </x:row>
    <x:row r="138" customFormat="false" ht="78" hidden="false" customHeight="true" outlineLevel="0" collapsed="false">
      <x:c r="A138" s="4" t="s">
        <x:v>28</x:v>
      </x:c>
      <x:c r="B138" s="5" t="s">
        <x:v>1050</x:v>
      </x:c>
      <x:c r="C138" s="4" t="s">
        <x:v>759</x:v>
      </x:c>
      <x:c r="D138" s="4" t="s">
        <x:v>830</x:v>
      </x:c>
      <x:c r="E138" s="4" t="s">
        <x:v>32</x:v>
      </x:c>
      <x:c r="F138" s="4" t="s">
        <x:v>33</x:v>
      </x:c>
      <x:c r="G138" s="4" t="s">
        <x:v>34</x:v>
      </x:c>
      <x:c r="H138" s="4" t="s">
        <x:v>35</x:v>
      </x:c>
      <x:c r="I138" s="4" t="s">
        <x:v>1051</x:v>
      </x:c>
      <x:c r="J138" s="4" t="s">
        <x:v>37</x:v>
      </x:c>
      <x:c r="K138" s="4" t="s">
        <x:v>1052</x:v>
      </x:c>
      <x:c r="L138" s="4" t="s">
        <x:v>1053</x:v>
      </x:c>
      <x:c r="M138" s="4" t="s">
        <x:v>1054</x:v>
      </x:c>
      <x:c r="N138" s="4" t="s">
        <x:v>1055</x:v>
      </x:c>
      <x:c r="O138" s="4" t="s">
        <x:v>1056</x:v>
      </x:c>
      <x:c r="P138" s="4" t="s">
        <x:v>822</x:v>
      </x:c>
      <x:c r="Q138" s="4" t="s">
        <x:v>1057</x:v>
      </x:c>
      <x:c r="R138" s="6" t="s">
        <x:v>1058</x:v>
      </x:c>
      <x:c r="S138" s="4" t="s">
        <x:v>1059</x:v>
      </x:c>
      <x:c r="T138" s="4" t="s">
        <x:v>1060</x:v>
      </x:c>
      <x:c r="U138" s="6" t="s">
        <x:v>1061</x:v>
      </x:c>
      <x:c r="V138" s="4" t="s">
        <x:v>45</x:v>
      </x:c>
      <x:c r="W138" s="4" t="s">
        <x:v>1062</x:v>
      </x:c>
      <x:c r="X138" s="4"/>
      <x:c r="Y138" s="4"/>
      <x:c r="Z138" s="4"/>
    </x:row>
    <x:row r="139" customFormat="false" ht="78" hidden="false" customHeight="true" outlineLevel="0" collapsed="false">
      <x:c r="A139" s="4" t="s">
        <x:v>28</x:v>
      </x:c>
      <x:c r="B139" s="5" t="s">
        <x:v>1063</x:v>
      </x:c>
      <x:c r="C139" s="4" t="s">
        <x:v>759</x:v>
      </x:c>
      <x:c r="D139" s="4" t="s">
        <x:v>830</x:v>
      </x:c>
      <x:c r="E139" s="4" t="s">
        <x:v>32</x:v>
      </x:c>
      <x:c r="F139" s="4" t="s">
        <x:v>33</x:v>
      </x:c>
      <x:c r="G139" s="4" t="s">
        <x:v>34</x:v>
      </x:c>
      <x:c r="H139" s="4" t="s">
        <x:v>887</x:v>
      </x:c>
      <x:c r="I139" s="4" t="s">
        <x:v>1064</x:v>
      </x:c>
      <x:c r="J139" s="4" t="s">
        <x:v>37</x:v>
      </x:c>
      <x:c r="K139" s="4" t="s">
        <x:v>1065</x:v>
      </x:c>
      <x:c r="L139" s="4" t="s">
        <x:v>1066</x:v>
      </x:c>
      <x:c r="M139" s="4" t="s">
        <x:v>1067</x:v>
      </x:c>
      <x:c r="N139" s="4" t="s">
        <x:v>1068</x:v>
      </x:c>
      <x:c r="O139" s="4" t="s">
        <x:v>1069</x:v>
      </x:c>
      <x:c r="P139" s="4" t="s">
        <x:v>1050</x:v>
      </x:c>
      <x:c r="Q139" s="4" t="s">
        <x:v>1070</x:v>
      </x:c>
      <x:c r="R139" s="6" t="s">
        <x:v>1071</x:v>
      </x:c>
      <x:c r="S139" s="4" t="s">
        <x:v>1052</x:v>
      </x:c>
      <x:c r="T139" s="4" t="s">
        <x:v>1072</x:v>
      </x:c>
      <x:c r="U139" s="6" t="s">
        <x:v>1073</x:v>
      </x:c>
      <x:c r="V139" s="4" t="s">
        <x:v>45</x:v>
      </x:c>
      <x:c r="W139" s="4" t="s">
        <x:v>1074</x:v>
      </x:c>
      <x:c r="X139" s="4"/>
      <x:c r="Y139" s="4"/>
      <x:c r="Z139" s="4"/>
    </x:row>
    <x:row r="140" customFormat="false" ht="78" hidden="false" customHeight="true" outlineLevel="0" collapsed="false">
      <x:c r="A140" s="4" t="s">
        <x:v>28</x:v>
      </x:c>
      <x:c r="B140" s="5" t="s">
        <x:v>1075</x:v>
      </x:c>
      <x:c r="C140" s="4" t="s">
        <x:v>668</x:v>
      </x:c>
      <x:c r="D140" s="4" t="s">
        <x:v>830</x:v>
      </x:c>
      <x:c r="E140" s="4" t="s">
        <x:v>32</x:v>
      </x:c>
      <x:c r="F140" s="4" t="s">
        <x:v>33</x:v>
      </x:c>
      <x:c r="G140" s="4" t="s">
        <x:v>34</x:v>
      </x:c>
      <x:c r="H140" s="4" t="s">
        <x:v>95</x:v>
      </x:c>
      <x:c r="I140" s="4" t="s">
        <x:v>1076</x:v>
      </x:c>
      <x:c r="J140" s="4" t="s">
        <x:v>37</x:v>
      </x:c>
      <x:c r="K140" s="4" t="s">
        <x:v>1077</x:v>
      </x:c>
      <x:c r="L140" s="4" t="s">
        <x:v>1078</x:v>
      </x:c>
      <x:c r="M140" s="4" t="s">
        <x:v>1079</x:v>
      </x:c>
      <x:c r="N140" s="4" t="s">
        <x:v>1080</x:v>
      </x:c>
      <x:c r="O140" s="4" t="s">
        <x:v>1081</x:v>
      </x:c>
      <x:c r="P140" s="4" t="s">
        <x:v>1082</x:v>
      </x:c>
      <x:c r="Q140" s="4" t="s">
        <x:v>1083</x:v>
      </x:c>
      <x:c r="R140" s="6" t="s">
        <x:v>1084</x:v>
      </x:c>
      <x:c r="S140" s="4" t="s">
        <x:v>1085</x:v>
      </x:c>
      <x:c r="T140" s="4" t="s">
        <x:v>1086</x:v>
      </x:c>
      <x:c r="U140" s="6" t="s">
        <x:v>1087</x:v>
      </x:c>
      <x:c r="V140" s="4" t="s">
        <x:v>1088</x:v>
      </x:c>
      <x:c r="W140" s="4" t="s">
        <x:v>46</x:v>
      </x:c>
      <x:c r="X140" s="4"/>
      <x:c r="Y140" s="4"/>
      <x:c r="Z140" s="4"/>
    </x:row>
    <x:row r="141" customFormat="false" ht="78" hidden="false" customHeight="true" outlineLevel="0" collapsed="false">
      <x:c r="A141" s="4" t="s">
        <x:v>28</x:v>
      </x:c>
      <x:c r="B141" s="5" t="s">
        <x:v>1089</x:v>
      </x:c>
      <x:c r="C141" s="4" t="s">
        <x:v>668</x:v>
      </x:c>
      <x:c r="D141" s="4" t="s">
        <x:v>830</x:v>
      </x:c>
      <x:c r="E141" s="4" t="s">
        <x:v>32</x:v>
      </x:c>
      <x:c r="F141" s="4" t="s">
        <x:v>33</x:v>
      </x:c>
      <x:c r="G141" s="4" t="s">
        <x:v>34</x:v>
      </x:c>
      <x:c r="H141" s="4" t="s">
        <x:v>35</x:v>
      </x:c>
      <x:c r="I141" s="4" t="s">
        <x:v>1090</x:v>
      </x:c>
      <x:c r="J141" s="4" t="s">
        <x:v>37</x:v>
      </x:c>
      <x:c r="K141" s="4" t="s">
        <x:v>1091</x:v>
      </x:c>
      <x:c r="L141" s="4" t="s">
        <x:v>1092</x:v>
      </x:c>
      <x:c r="M141" s="4" t="s">
        <x:v>1093</x:v>
      </x:c>
      <x:c r="N141" s="4" t="s">
        <x:v>1094</x:v>
      </x:c>
      <x:c r="O141" s="4" t="s">
        <x:v>1095</x:v>
      </x:c>
      <x:c r="P141" s="4" t="s">
        <x:v>1096</x:v>
      </x:c>
      <x:c r="Q141" s="4" t="s">
        <x:v>1097</x:v>
      </x:c>
      <x:c r="R141" s="6" t="s">
        <x:v>1098</x:v>
      </x:c>
      <x:c r="S141" s="4" t="s">
        <x:v>79</x:v>
      </x:c>
      <x:c r="T141" s="4" t="s">
        <x:v>713</x:v>
      </x:c>
      <x:c r="U141" s="6" t="s">
        <x:v>84</x:v>
      </x:c>
      <x:c r="V141" s="4" t="s">
        <x:v>1099</x:v>
      </x:c>
      <x:c r="W141" s="4" t="s">
        <x:v>46</x:v>
      </x:c>
      <x:c r="X141" s="4"/>
      <x:c r="Y141" s="4"/>
      <x:c r="Z141" s="4"/>
    </x:row>
    <x:row r="142" customFormat="false" ht="78" hidden="false" customHeight="true" outlineLevel="0" collapsed="false">
      <x:c r="A142" s="4" t="s">
        <x:v>28</x:v>
      </x:c>
      <x:c r="B142" s="5" t="s">
        <x:v>1100</x:v>
      </x:c>
      <x:c r="C142" s="4" t="s">
        <x:v>668</x:v>
      </x:c>
      <x:c r="D142" s="4" t="s">
        <x:v>830</x:v>
      </x:c>
      <x:c r="E142" s="4" t="s">
        <x:v>32</x:v>
      </x:c>
      <x:c r="F142" s="4" t="s">
        <x:v>33</x:v>
      </x:c>
      <x:c r="G142" s="4" t="s">
        <x:v>34</x:v>
      </x:c>
      <x:c r="H142" s="4" t="s">
        <x:v>95</x:v>
      </x:c>
      <x:c r="I142" s="4" t="s">
        <x:v>1101</x:v>
      </x:c>
      <x:c r="J142" s="4" t="s">
        <x:v>37</x:v>
      </x:c>
      <x:c r="K142" s="4" t="s">
        <x:v>1102</x:v>
      </x:c>
      <x:c r="L142" s="4" t="s">
        <x:v>1078</x:v>
      </x:c>
      <x:c r="M142" s="4" t="s">
        <x:v>1103</x:v>
      </x:c>
      <x:c r="N142" s="4" t="s">
        <x:v>1104</x:v>
      </x:c>
      <x:c r="O142" s="4" t="s">
        <x:v>1105</x:v>
      </x:c>
      <x:c r="P142" s="4" t="s">
        <x:v>1106</x:v>
      </x:c>
      <x:c r="Q142" s="4" t="s">
        <x:v>1107</x:v>
      </x:c>
      <x:c r="R142" s="6" t="s">
        <x:v>1108</x:v>
      </x:c>
      <x:c r="S142" s="4" t="s">
        <x:v>975</x:v>
      </x:c>
      <x:c r="T142" s="4" t="s">
        <x:v>1109</x:v>
      </x:c>
      <x:c r="U142" s="6" t="s">
        <x:v>977</x:v>
      </x:c>
      <x:c r="V142" s="4" t="s">
        <x:v>1110</x:v>
      </x:c>
      <x:c r="W142" s="4" t="s">
        <x:v>46</x:v>
      </x:c>
      <x:c r="X142" s="4"/>
      <x:c r="Y142" s="4"/>
      <x:c r="Z142" s="4"/>
    </x:row>
    <x:row r="143" customFormat="false" ht="78" hidden="false" customHeight="true" outlineLevel="0" collapsed="false">
      <x:c r="A143" s="4" t="s">
        <x:v>28</x:v>
      </x:c>
      <x:c r="B143" s="5" t="s">
        <x:v>1111</x:v>
      </x:c>
      <x:c r="C143" s="4" t="s">
        <x:v>668</x:v>
      </x:c>
      <x:c r="D143" s="4" t="s">
        <x:v>830</x:v>
      </x:c>
      <x:c r="E143" s="4" t="s">
        <x:v>32</x:v>
      </x:c>
      <x:c r="F143" s="4" t="s">
        <x:v>33</x:v>
      </x:c>
      <x:c r="G143" s="4" t="s">
        <x:v>34</x:v>
      </x:c>
      <x:c r="H143" s="4" t="s">
        <x:v>35</x:v>
      </x:c>
      <x:c r="I143" s="4" t="s">
        <x:v>1112</x:v>
      </x:c>
      <x:c r="J143" s="4" t="s">
        <x:v>37</x:v>
      </x:c>
      <x:c r="K143" s="4" t="s">
        <x:v>1113</x:v>
      </x:c>
      <x:c r="L143" s="4" t="s">
        <x:v>1114</x:v>
      </x:c>
      <x:c r="M143" s="4" t="s">
        <x:v>1115</x:v>
      </x:c>
      <x:c r="N143" s="4" t="s">
        <x:v>1116</x:v>
      </x:c>
      <x:c r="O143" s="4" t="s">
        <x:v>1117</x:v>
      </x:c>
      <x:c r="P143" s="4" t="s">
        <x:v>1082</x:v>
      </x:c>
      <x:c r="Q143" s="4" t="s">
        <x:v>1118</x:v>
      </x:c>
      <x:c r="R143" s="6" t="s">
        <x:v>1119</x:v>
      </x:c>
      <x:c r="S143" s="4" t="s">
        <x:v>1102</x:v>
      </x:c>
      <x:c r="T143" s="4" t="s">
        <x:v>1120</x:v>
      </x:c>
      <x:c r="U143" s="6" t="s">
        <x:v>1108</x:v>
      </x:c>
      <x:c r="V143" s="4" t="s">
        <x:v>1121</x:v>
      </x:c>
      <x:c r="W143" s="4" t="s">
        <x:v>46</x:v>
      </x:c>
      <x:c r="X143" s="4"/>
      <x:c r="Y143" s="4"/>
      <x:c r="Z143" s="4"/>
    </x:row>
    <x:row r="144" customFormat="false" ht="78" hidden="false" customHeight="true" outlineLevel="0" collapsed="false">
      <x:c r="A144" s="4" t="s">
        <x:v>28</x:v>
      </x:c>
      <x:c r="B144" s="5" t="s">
        <x:v>1122</x:v>
      </x:c>
      <x:c r="C144" s="4" t="s">
        <x:v>668</x:v>
      </x:c>
      <x:c r="D144" s="4" t="s">
        <x:v>830</x:v>
      </x:c>
      <x:c r="E144" s="4" t="s">
        <x:v>32</x:v>
      </x:c>
      <x:c r="F144" s="4" t="s">
        <x:v>33</x:v>
      </x:c>
      <x:c r="G144" s="4" t="s">
        <x:v>34</x:v>
      </x:c>
      <x:c r="H144" s="4" t="s">
        <x:v>95</x:v>
      </x:c>
      <x:c r="I144" s="4" t="s">
        <x:v>1123</x:v>
      </x:c>
      <x:c r="J144" s="4" t="s">
        <x:v>37</x:v>
      </x:c>
      <x:c r="K144" s="4" t="s">
        <x:v>1124</x:v>
      </x:c>
      <x:c r="L144" s="4" t="s">
        <x:v>1125</x:v>
      </x:c>
      <x:c r="M144" s="4" t="s">
        <x:v>1126</x:v>
      </x:c>
      <x:c r="N144" s="4" t="s">
        <x:v>1127</x:v>
      </x:c>
      <x:c r="O144" s="4" t="s">
        <x:v>1128</x:v>
      </x:c>
      <x:c r="P144" s="4" t="s">
        <x:v>1129</x:v>
      </x:c>
      <x:c r="Q144" s="4" t="s">
        <x:v>1130</x:v>
      </x:c>
      <x:c r="R144" s="6" t="s">
        <x:v>1131</x:v>
      </x:c>
      <x:c r="S144" s="4" t="s">
        <x:v>79</x:v>
      </x:c>
      <x:c r="T144" s="4" t="s">
        <x:v>1132</x:v>
      </x:c>
      <x:c r="U144" s="6" t="s">
        <x:v>84</x:v>
      </x:c>
      <x:c r="V144" s="4" t="s">
        <x:v>45</x:v>
      </x:c>
      <x:c r="W144" s="4" t="s">
        <x:v>46</x:v>
      </x:c>
      <x:c r="X144" s="4"/>
      <x:c r="Y144" s="4"/>
      <x:c r="Z144" s="4"/>
    </x:row>
    <x:row r="145" customFormat="false" ht="78" hidden="false" customHeight="true" outlineLevel="0" collapsed="false">
      <x:c r="A145" s="4" t="s">
        <x:v>28</x:v>
      </x:c>
      <x:c r="B145" s="5" t="s">
        <x:v>1133</x:v>
      </x:c>
      <x:c r="C145" s="4" t="s">
        <x:v>475</x:v>
      </x:c>
      <x:c r="D145" s="4" t="s">
        <x:v>605</x:v>
      </x:c>
      <x:c r="E145" s="4" t="s">
        <x:v>233</x:v>
      </x:c>
      <x:c r="F145" s="4" t="s">
        <x:v>1134</x:v>
      </x:c>
      <x:c r="G145" s="4" t="s">
        <x:v>234</x:v>
      </x:c>
      <x:c r="H145" s="4" t="s">
        <x:v>887</x:v>
      </x:c>
      <x:c r="I145" s="4" t="s">
        <x:v>1135</x:v>
      </x:c>
      <x:c r="J145" s="4" t="s">
        <x:v>37</x:v>
      </x:c>
      <x:c r="K145" s="4" t="s">
        <x:v>1136</x:v>
      </x:c>
      <x:c r="L145" s="4" t="s">
        <x:v>1137</x:v>
      </x:c>
      <x:c r="M145" s="4" t="s">
        <x:v>1138</x:v>
      </x:c>
      <x:c r="N145" s="4" t="s">
        <x:v>1139</x:v>
      </x:c>
      <x:c r="O145" s="4" t="s">
        <x:v>1140</x:v>
      </x:c>
      <x:c r="P145" s="4" t="s">
        <x:v>1141</x:v>
      </x:c>
      <x:c r="Q145" s="4" t="s">
        <x:v>1142</x:v>
      </x:c>
      <x:c r="R145" s="6" t="s">
        <x:v>1143</x:v>
      </x:c>
      <x:c r="S145" s="4" t="s">
        <x:v>1124</x:v>
      </x:c>
      <x:c r="T145" s="4" t="s">
        <x:v>1144</x:v>
      </x:c>
      <x:c r="U145" s="6" t="s">
        <x:v>1131</x:v>
      </x:c>
      <x:c r="V145" s="4" t="s">
        <x:v>1145</x:v>
      </x:c>
      <x:c r="W145" s="4" t="s">
        <x:v>46</x:v>
      </x:c>
      <x:c r="X145" s="4"/>
      <x:c r="Y145" s="4"/>
      <x:c r="Z145" s="4"/>
    </x:row>
    <x:row r="146" customFormat="false" ht="78" hidden="false" customHeight="true" outlineLevel="0" collapsed="false">
      <x:c r="A146" s="4" t="s">
        <x:v>28</x:v>
      </x:c>
      <x:c r="B146" s="5" t="s">
        <x:v>1146</x:v>
      </x:c>
      <x:c r="C146" s="4" t="s">
        <x:v>604</x:v>
      </x:c>
      <x:c r="D146" s="4" t="s">
        <x:v>605</x:v>
      </x:c>
      <x:c r="E146" s="4" t="s">
        <x:v>110</x:v>
      </x:c>
      <x:c r="F146" s="4" t="s">
        <x:v>1147</x:v>
      </x:c>
      <x:c r="G146" s="4" t="s">
        <x:v>111</x:v>
      </x:c>
      <x:c r="H146" s="4" t="s">
        <x:v>95</x:v>
      </x:c>
      <x:c r="I146" s="4" t="s">
        <x:v>1148</x:v>
      </x:c>
      <x:c r="J146" s="4" t="s">
        <x:v>37</x:v>
      </x:c>
      <x:c r="K146" s="4" t="s">
        <x:v>1149</x:v>
      </x:c>
      <x:c r="L146" s="4" t="s">
        <x:v>1150</x:v>
      </x:c>
      <x:c r="M146" s="4" t="s">
        <x:v>1151</x:v>
      </x:c>
      <x:c r="N146" s="4" t="s">
        <x:v>1152</x:v>
      </x:c>
      <x:c r="O146" s="4" t="s">
        <x:v>1153</x:v>
      </x:c>
      <x:c r="P146" s="4" t="s">
        <x:v>1154</x:v>
      </x:c>
      <x:c r="Q146" s="4" t="s">
        <x:v>1155</x:v>
      </x:c>
      <x:c r="R146" s="6" t="s">
        <x:v>1156</x:v>
      </x:c>
      <x:c r="S146" s="4" t="s">
        <x:v>742</x:v>
      </x:c>
      <x:c r="T146" s="4" t="s">
        <x:v>1157</x:v>
      </x:c>
      <x:c r="U146" s="6" t="s">
        <x:v>747</x:v>
      </x:c>
      <x:c r="V146" s="4" t="s">
        <x:v>45</x:v>
      </x:c>
      <x:c r="W146" s="4" t="s">
        <x:v>1158</x:v>
      </x:c>
      <x:c r="X146" s="4"/>
      <x:c r="Y146" s="4"/>
      <x:c r="Z146" s="4"/>
    </x:row>
    <x:row r="147" customFormat="false" ht="78" hidden="false" customHeight="true" outlineLevel="0" collapsed="false">
      <x:c r="A147" s="4" t="s">
        <x:v>28</x:v>
      </x:c>
      <x:c r="B147" s="5" t="s">
        <x:v>1159</x:v>
      </x:c>
      <x:c r="C147" s="4" t="s">
        <x:v>30</x:v>
      </x:c>
      <x:c r="D147" s="4" t="s">
        <x:v>93</x:v>
      </x:c>
      <x:c r="E147" s="4" t="s">
        <x:v>32</x:v>
      </x:c>
      <x:c r="F147" s="4" t="s">
        <x:v>1160</x:v>
      </x:c>
      <x:c r="G147" s="4" t="s">
        <x:v>234</x:v>
      </x:c>
      <x:c r="H147" s="4" t="s">
        <x:v>95</x:v>
      </x:c>
      <x:c r="I147" s="4" t="s">
        <x:v>1161</x:v>
      </x:c>
      <x:c r="J147" s="4" t="s">
        <x:v>37</x:v>
      </x:c>
      <x:c r="K147" s="4" t="s">
        <x:v>1124</x:v>
      </x:c>
      <x:c r="L147" s="4" t="s">
        <x:v>1162</x:v>
      </x:c>
      <x:c r="M147" s="4" t="s">
        <x:v>1163</x:v>
      </x:c>
      <x:c r="N147" s="4" t="s">
        <x:v>1164</x:v>
      </x:c>
      <x:c r="O147" s="4" t="s">
        <x:v>1165</x:v>
      </x:c>
      <x:c r="P147" s="4" t="s">
        <x:v>1166</x:v>
      </x:c>
      <x:c r="Q147" s="4" t="s">
        <x:v>1167</x:v>
      </x:c>
      <x:c r="R147" s="6" t="s">
        <x:v>1131</x:v>
      </x:c>
      <x:c r="S147" s="4" t="s">
        <x:v>38</x:v>
      </x:c>
      <x:c r="T147" s="4" t="s">
        <x:v>67</x:v>
      </x:c>
      <x:c r="U147" s="6" t="s">
        <x:v>44</x:v>
      </x:c>
      <x:c r="V147" s="4" t="s">
        <x:v>1168</x:v>
      </x:c>
      <x:c r="W147" s="4" t="s">
        <x:v>46</x:v>
      </x:c>
      <x:c r="X147" s="4"/>
      <x:c r="Y147" s="4"/>
      <x:c r="Z147" s="4"/>
    </x:row>
    <x:row r="148" customFormat="false" ht="78" hidden="false" customHeight="true" outlineLevel="0" collapsed="false">
      <x:c r="A148" s="4" t="s">
        <x:v>28</x:v>
      </x:c>
      <x:c r="B148" s="5" t="s">
        <x:v>1169</x:v>
      </x:c>
      <x:c r="C148" s="4" t="s">
        <x:v>126</x:v>
      </x:c>
      <x:c r="D148" s="4" t="s">
        <x:v>93</x:v>
      </x:c>
      <x:c r="E148" s="4" t="s">
        <x:v>233</x:v>
      </x:c>
      <x:c r="F148" s="4" t="s">
        <x:v>1170</x:v>
      </x:c>
      <x:c r="G148" s="4" t="s">
        <x:v>234</x:v>
      </x:c>
      <x:c r="H148" s="4" t="s">
        <x:v>887</x:v>
      </x:c>
      <x:c r="I148" s="4" t="s">
        <x:v>1171</x:v>
      </x:c>
      <x:c r="J148" s="4" t="s">
        <x:v>113</x:v>
      </x:c>
      <x:c r="K148" s="4" t="s">
        <x:v>1172</x:v>
      </x:c>
      <x:c r="L148" s="4" t="s">
        <x:v>1173</x:v>
      </x:c>
      <x:c r="M148" s="4" t="s">
        <x:v>1174</x:v>
      </x:c>
      <x:c r="N148" s="4" t="s">
        <x:v>1175</x:v>
      </x:c>
      <x:c r="O148" s="4" t="s">
        <x:v>1176</x:v>
      </x:c>
      <x:c r="P148" s="4" t="s">
        <x:v>1177</x:v>
      </x:c>
      <x:c r="Q148" s="4" t="s">
        <x:v>1178</x:v>
      </x:c>
      <x:c r="R148" s="6" t="s">
        <x:v>1179</x:v>
      </x:c>
      <x:c r="S148" s="4" t="s">
        <x:v>79</x:v>
      </x:c>
      <x:c r="T148" s="4" t="s">
        <x:v>161</x:v>
      </x:c>
      <x:c r="U148" s="6" t="s">
        <x:v>84</x:v>
      </x:c>
      <x:c r="V148" s="4" t="s">
        <x:v>1180</x:v>
      </x:c>
      <x:c r="W148" s="4" t="s">
        <x:v>46</x:v>
      </x:c>
      <x:c r="X148" s="4"/>
      <x:c r="Y148" s="4"/>
      <x:c r="Z148" s="4"/>
    </x:row>
    <x:row r="149" customFormat="false" ht="78" hidden="false" customHeight="true" outlineLevel="0" collapsed="false">
      <x:c r="A149" s="4" t="s">
        <x:v>28</x:v>
      </x:c>
      <x:c r="B149" s="5" t="s">
        <x:v>1181</x:v>
      </x:c>
      <x:c r="C149" s="4" t="s">
        <x:v>312</x:v>
      </x:c>
      <x:c r="D149" s="4" t="s">
        <x:v>31</x:v>
      </x:c>
      <x:c r="E149" s="4" t="s">
        <x:v>32</x:v>
      </x:c>
      <x:c r="F149" s="4" t="s">
        <x:v>33</x:v>
      </x:c>
      <x:c r="G149" s="4" t="s">
        <x:v>34</x:v>
      </x:c>
      <x:c r="H149" s="4" t="s">
        <x:v>95</x:v>
      </x:c>
      <x:c r="I149" s="4" t="s">
        <x:v>1182</x:v>
      </x:c>
      <x:c r="J149" s="4" t="s">
        <x:v>37</x:v>
      </x:c>
      <x:c r="K149" s="4" t="s">
        <x:v>352</x:v>
      </x:c>
      <x:c r="L149" s="4" t="s">
        <x:v>1183</x:v>
      </x:c>
      <x:c r="M149" s="4" t="s">
        <x:v>1184</x:v>
      </x:c>
      <x:c r="N149" s="4" t="s">
        <x:v>1185</x:v>
      </x:c>
      <x:c r="O149" s="4" t="s">
        <x:v>1186</x:v>
      </x:c>
      <x:c r="P149" s="4" t="s">
        <x:v>1187</x:v>
      </x:c>
      <x:c r="Q149" s="4" t="s">
        <x:v>1188</x:v>
      </x:c>
      <x:c r="R149" s="6" t="s">
        <x:v>1189</x:v>
      </x:c>
      <x:c r="S149" s="4" t="s">
        <x:v>79</x:v>
      </x:c>
      <x:c r="T149" s="4" t="s">
        <x:v>365</x:v>
      </x:c>
      <x:c r="U149" s="6" t="s">
        <x:v>84</x:v>
      </x:c>
      <x:c r="V149" s="4" t="s">
        <x:v>45</x:v>
      </x:c>
      <x:c r="W149" s="4" t="s">
        <x:v>46</x:v>
      </x:c>
      <x:c r="X149" s="4"/>
      <x:c r="Y149" s="4"/>
      <x:c r="Z149" s="4"/>
    </x:row>
    <x:row r="150" customFormat="false" ht="78" hidden="false" customHeight="true" outlineLevel="0" collapsed="false">
      <x:c r="A150" s="4" t="s">
        <x:v>28</x:v>
      </x:c>
      <x:c r="B150" s="5" t="s">
        <x:v>1190</x:v>
      </x:c>
      <x:c r="C150" s="4" t="s">
        <x:v>175</x:v>
      </x:c>
      <x:c r="D150" s="4" t="s">
        <x:v>760</x:v>
      </x:c>
      <x:c r="E150" s="4" t="s">
        <x:v>32</x:v>
      </x:c>
      <x:c r="F150" s="4" t="s">
        <x:v>1191</x:v>
      </x:c>
      <x:c r="G150" s="4" t="s">
        <x:v>34</x:v>
      </x:c>
      <x:c r="H150" s="4" t="s">
        <x:v>95</x:v>
      </x:c>
      <x:c r="I150" s="4" t="s">
        <x:v>1192</x:v>
      </x:c>
      <x:c r="J150" s="4" t="s">
        <x:v>338</x:v>
      </x:c>
      <x:c r="K150" s="4" t="s">
        <x:v>79</x:v>
      </x:c>
      <x:c r="L150" s="4" t="s">
        <x:v>177</x:v>
      </x:c>
      <x:c r="M150" s="4" t="s">
        <x:v>1193</x:v>
      </x:c>
      <x:c r="N150" s="4" t="s">
        <x:v>1194</x:v>
      </x:c>
      <x:c r="O150" s="4" t="s">
        <x:v>1195</x:v>
      </x:c>
      <x:c r="P150" s="4" t="s">
        <x:v>1196</x:v>
      </x:c>
      <x:c r="Q150" s="4" t="s">
        <x:v>1197</x:v>
      </x:c>
      <x:c r="R150" s="6" t="s">
        <x:v>84</x:v>
      </x:c>
      <x:c r="S150" s="4" t="s">
        <x:v>1198</x:v>
      </x:c>
      <x:c r="T150" s="4" t="s">
        <x:v>1199</x:v>
      </x:c>
      <x:c r="U150" s="6" t="s">
        <x:v>1200</x:v>
      </x:c>
      <x:c r="V150" s="4" t="s">
        <x:v>1201</x:v>
      </x:c>
      <x:c r="W150" s="4" t="s">
        <x:v>46</x:v>
      </x:c>
      <x:c r="X150" s="4"/>
      <x:c r="Y150" s="4"/>
      <x:c r="Z150" s="4"/>
    </x:row>
    <x:row r="151" customFormat="false" ht="78" hidden="false" customHeight="true" outlineLevel="0" collapsed="false">
      <x:c r="A151" s="4" t="s">
        <x:v>28</x:v>
      </x:c>
      <x:c r="B151" s="5" t="s">
        <x:v>1202</x:v>
      </x:c>
      <x:c r="C151" s="4" t="s">
        <x:v>759</x:v>
      </x:c>
      <x:c r="D151" s="4" t="s">
        <x:v>760</x:v>
      </x:c>
      <x:c r="E151" s="4" t="s">
        <x:v>32</x:v>
      </x:c>
      <x:c r="F151" s="4" t="s">
        <x:v>1203</x:v>
      </x:c>
      <x:c r="G151" s="4" t="s">
        <x:v>234</x:v>
      </x:c>
      <x:c r="H151" s="4" t="s">
        <x:v>887</x:v>
      </x:c>
      <x:c r="I151" s="4" t="s">
        <x:v>1204</x:v>
      </x:c>
      <x:c r="J151" s="4" t="s">
        <x:v>37</x:v>
      </x:c>
      <x:c r="K151" s="4" t="s">
        <x:v>1198</x:v>
      </x:c>
      <x:c r="L151" s="4" t="s">
        <x:v>1205</x:v>
      </x:c>
      <x:c r="M151" s="4" t="s">
        <x:v>1206</x:v>
      </x:c>
      <x:c r="N151" s="4" t="s">
        <x:v>1207</x:v>
      </x:c>
      <x:c r="O151" s="4" t="s">
        <x:v>1208</x:v>
      </x:c>
      <x:c r="P151" s="4" t="s">
        <x:v>1209</x:v>
      </x:c>
      <x:c r="Q151" s="4" t="s">
        <x:v>1210</x:v>
      </x:c>
      <x:c r="R151" s="6" t="s">
        <x:v>1211</x:v>
      </x:c>
      <x:c r="S151" s="4" t="s">
        <x:v>1212</x:v>
      </x:c>
      <x:c r="T151" s="4" t="s">
        <x:v>1213</x:v>
      </x:c>
      <x:c r="U151" s="6" t="s">
        <x:v>1214</x:v>
      </x:c>
      <x:c r="V151" s="4" t="s">
        <x:v>45</x:v>
      </x:c>
      <x:c r="W151" s="4" t="s">
        <x:v>46</x:v>
      </x:c>
      <x:c r="X151" s="4"/>
      <x:c r="Y151" s="4"/>
      <x:c r="Z151" s="4"/>
    </x:row>
    <x:row r="152" customFormat="false" ht="78" hidden="false" customHeight="true" outlineLevel="0" collapsed="false">
      <x:c r="A152" s="4" t="s">
        <x:v>28</x:v>
      </x:c>
      <x:c r="B152" s="5" t="s">
        <x:v>1215</x:v>
      </x:c>
      <x:c r="C152" s="4" t="s">
        <x:v>522</x:v>
      </x:c>
      <x:c r="D152" s="4" t="s">
        <x:v>760</x:v>
      </x:c>
      <x:c r="E152" s="4" t="s">
        <x:v>32</x:v>
      </x:c>
      <x:c r="F152" s="4" t="s">
        <x:v>1216</x:v>
      </x:c>
      <x:c r="G152" s="4" t="s">
        <x:v>234</x:v>
      </x:c>
      <x:c r="H152" s="4" t="s">
        <x:v>887</x:v>
      </x:c>
      <x:c r="I152" s="4" t="s">
        <x:v>1217</x:v>
      </x:c>
      <x:c r="J152" s="4" t="s">
        <x:v>37</x:v>
      </x:c>
      <x:c r="K152" s="4" t="s">
        <x:v>38</x:v>
      </x:c>
      <x:c r="L152" s="4" t="s">
        <x:v>1218</x:v>
      </x:c>
      <x:c r="M152" s="4" t="s">
        <x:v>1219</x:v>
      </x:c>
      <x:c r="N152" s="4" t="s">
        <x:v>1220</x:v>
      </x:c>
      <x:c r="O152" s="4" t="s">
        <x:v>1221</x:v>
      </x:c>
      <x:c r="P152" s="4" t="s">
        <x:v>1222</x:v>
      </x:c>
      <x:c r="Q152" s="4" t="s">
        <x:v>1223</x:v>
      </x:c>
      <x:c r="R152" s="6" t="s">
        <x:v>44</x:v>
      </x:c>
      <x:c r="S152" s="4" t="s">
        <x:v>1224</x:v>
      </x:c>
      <x:c r="T152" s="4" t="s">
        <x:v>1225</x:v>
      </x:c>
      <x:c r="U152" s="6" t="s">
        <x:v>1226</x:v>
      </x:c>
      <x:c r="V152" s="4" t="s">
        <x:v>1227</x:v>
      </x:c>
      <x:c r="W152" s="4" t="s">
        <x:v>1228</x:v>
      </x:c>
      <x:c r="X152" s="4"/>
      <x:c r="Y152" s="4"/>
      <x:c r="Z152" s="4"/>
    </x:row>
    <x:row r="153" customFormat="false" ht="78" hidden="false" customHeight="true" outlineLevel="0" collapsed="false">
      <x:c r="A153" s="4" t="s">
        <x:v>28</x:v>
      </x:c>
      <x:c r="B153" s="5" t="s">
        <x:v>1229</x:v>
      </x:c>
      <x:c r="C153" s="4" t="s">
        <x:v>522</x:v>
      </x:c>
      <x:c r="D153" s="4" t="s">
        <x:v>760</x:v>
      </x:c>
      <x:c r="E153" s="4" t="s">
        <x:v>32</x:v>
      </x:c>
      <x:c r="F153" s="4" t="s">
        <x:v>1230</x:v>
      </x:c>
      <x:c r="G153" s="4" t="s">
        <x:v>234</x:v>
      </x:c>
      <x:c r="H153" s="4" t="s">
        <x:v>95</x:v>
      </x:c>
      <x:c r="I153" s="4" t="s">
        <x:v>1231</x:v>
      </x:c>
      <x:c r="J153" s="4" t="s">
        <x:v>37</x:v>
      </x:c>
      <x:c r="K153" s="4" t="s">
        <x:v>1232</x:v>
      </x:c>
      <x:c r="L153" s="4" t="s">
        <x:v>1233</x:v>
      </x:c>
      <x:c r="M153" s="4" t="s">
        <x:v>1234</x:v>
      </x:c>
      <x:c r="N153" s="4" t="s">
        <x:v>1235</x:v>
      </x:c>
      <x:c r="O153" s="4" t="s">
        <x:v>1236</x:v>
      </x:c>
      <x:c r="P153" s="4" t="s">
        <x:v>1237</x:v>
      </x:c>
      <x:c r="Q153" s="4" t="s">
        <x:v>1238</x:v>
      </x:c>
      <x:c r="R153" s="6" t="s">
        <x:v>1239</x:v>
      </x:c>
      <x:c r="S153" s="4" t="s">
        <x:v>38</x:v>
      </x:c>
      <x:c r="T153" s="4" t="s">
        <x:v>1240</x:v>
      </x:c>
      <x:c r="U153" s="6" t="s">
        <x:v>44</x:v>
      </x:c>
      <x:c r="V153" s="4" t="s">
        <x:v>1241</x:v>
      </x:c>
      <x:c r="W153" s="4" t="s">
        <x:v>46</x:v>
      </x:c>
      <x:c r="X153" s="4"/>
      <x:c r="Y153" s="4"/>
      <x:c r="Z153" s="4"/>
    </x:row>
    <x:row r="154" customFormat="false" ht="78" hidden="false" customHeight="true" outlineLevel="0" collapsed="false">
      <x:c r="A154" s="4" t="s">
        <x:v>28</x:v>
      </x:c>
      <x:c r="B154" s="5" t="s">
        <x:v>1242</x:v>
      </x:c>
      <x:c r="C154" s="4" t="s">
        <x:v>759</x:v>
      </x:c>
      <x:c r="D154" s="4" t="s">
        <x:v>830</x:v>
      </x:c>
      <x:c r="E154" s="4" t="s">
        <x:v>32</x:v>
      </x:c>
      <x:c r="F154" s="4" t="s">
        <x:v>33</x:v>
      </x:c>
      <x:c r="G154" s="4" t="s">
        <x:v>34</x:v>
      </x:c>
      <x:c r="H154" s="4" t="s">
        <x:v>95</x:v>
      </x:c>
      <x:c r="I154" s="4" t="s">
        <x:v>1243</x:v>
      </x:c>
      <x:c r="J154" s="4" t="s">
        <x:v>37</x:v>
      </x:c>
      <x:c r="K154" s="4" t="s">
        <x:v>1212</x:v>
      </x:c>
      <x:c r="L154" s="4" t="s">
        <x:v>1244</x:v>
      </x:c>
      <x:c r="M154" s="4" t="s">
        <x:v>1245</x:v>
      </x:c>
      <x:c r="N154" s="4" t="s">
        <x:v>1246</x:v>
      </x:c>
      <x:c r="O154" s="4" t="s">
        <x:v>1247</x:v>
      </x:c>
      <x:c r="P154" s="4" t="s">
        <x:v>1248</x:v>
      </x:c>
      <x:c r="Q154" s="4" t="s">
        <x:v>1249</x:v>
      </x:c>
      <x:c r="R154" s="6" t="s">
        <x:v>1214</x:v>
      </x:c>
      <x:c r="S154" s="4" t="s">
        <x:v>1198</x:v>
      </x:c>
      <x:c r="T154" s="4" t="s">
        <x:v>1250</x:v>
      </x:c>
      <x:c r="U154" s="6" t="s">
        <x:v>1200</x:v>
      </x:c>
      <x:c r="V154" s="4" t="s">
        <x:v>45</x:v>
      </x:c>
      <x:c r="W154" s="4" t="s">
        <x:v>46</x:v>
      </x:c>
      <x:c r="X154" s="4"/>
      <x:c r="Y154" s="4"/>
      <x:c r="Z154" s="4"/>
    </x:row>
    <x:row r="155" customFormat="false" ht="20" hidden="false" customHeight="true" outlineLevel="0" collapsed="false">
      <x:c r="A155" s="4"/>
      <x:c r="B155" s="5"/>
      <x:c r="C155" s="4"/>
      <x:c r="D155" s="4"/>
      <x:c r="E155" s="4"/>
      <x:c r="F155" s="4"/>
      <x:c r="G155" s="4"/>
      <x:c r="H155" s="4"/>
      <x:c r="I155" s="4"/>
      <x:c r="J155" s="4"/>
      <x:c r="K155" s="4"/>
      <x:c r="L155" s="4"/>
      <x:c r="M155" s="4"/>
      <x:c r="N155" s="4"/>
      <x:c r="O155" s="4"/>
      <x:c r="P155" s="4"/>
      <x:c r="Q155" s="4"/>
      <x:c r="R155" s="6"/>
      <x:c r="S155" s="4"/>
      <x:c r="T155" s="4"/>
      <x:c r="U155" s="6"/>
      <x:c r="V155" s="4"/>
      <x:c r="W155" s="4"/>
      <x:c r="X155" s="4"/>
      <x:c r="Y155" s="4"/>
      <x:c r="Z155" s="4"/>
    </x:row>
    <x:row r="156" customFormat="false" ht="20" hidden="false" customHeight="true" outlineLevel="0" collapsed="false">
      <x:c r="A156" s="4"/>
      <x:c r="B156" s="5"/>
      <x:c r="C156" s="4"/>
      <x:c r="D156" s="4"/>
      <x:c r="E156" s="4"/>
      <x:c r="F156" s="4"/>
      <x:c r="G156" s="4"/>
      <x:c r="H156" s="4"/>
      <x:c r="I156" s="4"/>
      <x:c r="J156" s="4"/>
      <x:c r="K156" s="4"/>
      <x:c r="L156" s="4"/>
      <x:c r="M156" s="4"/>
      <x:c r="N156" s="4"/>
      <x:c r="O156" s="4"/>
      <x:c r="P156" s="4"/>
      <x:c r="Q156" s="4"/>
      <x:c r="R156" s="6"/>
      <x:c r="S156" s="4"/>
      <x:c r="T156" s="4"/>
      <x:c r="U156" s="6"/>
      <x:c r="V156" s="4"/>
      <x:c r="W156" s="4"/>
      <x:c r="X156" s="4"/>
      <x:c r="Y156" s="4"/>
      <x:c r="Z156" s="4"/>
    </x:row>
    <x:row r="157" customFormat="false" ht="20" hidden="false" customHeight="true" outlineLevel="0" collapsed="false">
      <x:c r="A157" s="4"/>
      <x:c r="B157" s="5"/>
      <x:c r="C157" s="4"/>
      <x:c r="D157" s="4"/>
      <x:c r="E157" s="4"/>
      <x:c r="F157" s="4"/>
      <x:c r="G157" s="4"/>
      <x:c r="H157" s="4"/>
      <x:c r="I157" s="4"/>
      <x:c r="J157" s="4"/>
      <x:c r="K157" s="4"/>
      <x:c r="L157" s="4"/>
      <x:c r="M157" s="4"/>
      <x:c r="N157" s="4"/>
      <x:c r="O157" s="4"/>
      <x:c r="P157" s="4"/>
      <x:c r="Q157" s="4"/>
      <x:c r="R157" s="6"/>
      <x:c r="S157" s="4"/>
      <x:c r="T157" s="4"/>
      <x:c r="U157" s="6"/>
      <x:c r="V157" s="4"/>
      <x:c r="W157" s="4"/>
      <x:c r="X157" s="4"/>
      <x:c r="Y157" s="4"/>
      <x:c r="Z157" s="4"/>
    </x:row>
    <x:row r="158" customFormat="false" ht="20" hidden="false" customHeight="true" outlineLevel="0" collapsed="false">
      <x:c r="A158" s="4"/>
      <x:c r="B158" s="5"/>
      <x:c r="C158" s="4"/>
      <x:c r="D158" s="4"/>
      <x:c r="E158" s="4"/>
      <x:c r="F158" s="4"/>
      <x:c r="G158" s="4"/>
      <x:c r="H158" s="4"/>
      <x:c r="I158" s="4"/>
      <x:c r="J158" s="4"/>
      <x:c r="K158" s="4"/>
      <x:c r="L158" s="4"/>
      <x:c r="M158" s="4"/>
      <x:c r="N158" s="4"/>
      <x:c r="O158" s="4"/>
      <x:c r="P158" s="4"/>
      <x:c r="Q158" s="4"/>
      <x:c r="R158" s="6"/>
      <x:c r="S158" s="4"/>
      <x:c r="T158" s="4"/>
      <x:c r="U158" s="6"/>
      <x:c r="V158" s="4"/>
      <x:c r="W158" s="4"/>
      <x:c r="X158" s="4"/>
      <x:c r="Y158" s="4"/>
      <x:c r="Z158" s="4"/>
    </x:row>
    <x:row r="159" customFormat="false" ht="20" hidden="false" customHeight="true" outlineLevel="0" collapsed="false">
      <x:c r="A159" s="4"/>
      <x:c r="B159" s="5"/>
      <x:c r="C159" s="4"/>
      <x:c r="D159" s="4"/>
      <x:c r="E159" s="4"/>
      <x:c r="F159" s="4"/>
      <x:c r="G159" s="4"/>
      <x:c r="H159" s="4"/>
      <x:c r="I159" s="4"/>
      <x:c r="J159" s="4"/>
      <x:c r="K159" s="4"/>
      <x:c r="L159" s="4"/>
      <x:c r="M159" s="4"/>
      <x:c r="N159" s="4"/>
      <x:c r="O159" s="4"/>
      <x:c r="P159" s="4"/>
      <x:c r="Q159" s="4"/>
      <x:c r="R159" s="6"/>
      <x:c r="S159" s="4"/>
      <x:c r="T159" s="4"/>
      <x:c r="U159" s="6"/>
      <x:c r="V159" s="4"/>
      <x:c r="W159" s="4"/>
      <x:c r="X159" s="4"/>
      <x:c r="Y159" s="4"/>
      <x:c r="Z159" s="4"/>
    </x:row>
    <x:row r="160" customFormat="false" ht="20" hidden="false" customHeight="true" outlineLevel="0" collapsed="false">
      <x:c r="A160" s="4"/>
      <x:c r="B160" s="5"/>
      <x:c r="C160" s="4"/>
      <x:c r="D160" s="4"/>
      <x:c r="E160" s="4"/>
      <x:c r="F160" s="4"/>
      <x:c r="G160" s="4"/>
      <x:c r="H160" s="4"/>
      <x:c r="I160" s="4"/>
      <x:c r="J160" s="4"/>
      <x:c r="K160" s="4"/>
      <x:c r="L160" s="4"/>
      <x:c r="M160" s="4"/>
      <x:c r="N160" s="4"/>
      <x:c r="O160" s="4"/>
      <x:c r="P160" s="4"/>
      <x:c r="Q160" s="4"/>
      <x:c r="R160" s="6"/>
      <x:c r="S160" s="4"/>
      <x:c r="T160" s="4"/>
      <x:c r="U160" s="6"/>
      <x:c r="V160" s="4"/>
      <x:c r="W160" s="4"/>
      <x:c r="X160" s="4"/>
      <x:c r="Y160" s="4"/>
      <x:c r="Z160" s="4"/>
    </x:row>
    <x:row r="161" customFormat="false" ht="20" hidden="false" customHeight="true" outlineLevel="0" collapsed="false">
      <x:c r="A161" s="4"/>
      <x:c r="B161" s="5"/>
      <x:c r="C161" s="4"/>
      <x:c r="D161" s="4"/>
      <x:c r="E161" s="4"/>
      <x:c r="F161" s="4"/>
      <x:c r="G161" s="4"/>
      <x:c r="H161" s="4"/>
      <x:c r="I161" s="4"/>
      <x:c r="J161" s="4"/>
      <x:c r="K161" s="4"/>
      <x:c r="L161" s="4"/>
      <x:c r="M161" s="4"/>
      <x:c r="N161" s="4"/>
      <x:c r="O161" s="4"/>
      <x:c r="P161" s="4"/>
      <x:c r="Q161" s="4"/>
      <x:c r="R161" s="6"/>
      <x:c r="S161" s="4"/>
      <x:c r="T161" s="4"/>
      <x:c r="U161" s="6"/>
      <x:c r="V161" s="4"/>
      <x:c r="W161" s="4"/>
      <x:c r="X161" s="4"/>
      <x:c r="Y161" s="4"/>
      <x:c r="Z161" s="4"/>
    </x:row>
    <x:row r="162" customFormat="false" ht="20" hidden="false" customHeight="true" outlineLevel="0" collapsed="false">
      <x:c r="A162" s="4"/>
      <x:c r="B162" s="5"/>
      <x:c r="C162" s="4"/>
      <x:c r="D162" s="4"/>
      <x:c r="E162" s="4"/>
      <x:c r="F162" s="4"/>
      <x:c r="G162" s="4"/>
      <x:c r="H162" s="4"/>
      <x:c r="I162" s="4"/>
      <x:c r="J162" s="4"/>
      <x:c r="K162" s="4"/>
      <x:c r="L162" s="4"/>
      <x:c r="M162" s="4"/>
      <x:c r="N162" s="4"/>
      <x:c r="O162" s="4"/>
      <x:c r="P162" s="4"/>
      <x:c r="Q162" s="4"/>
      <x:c r="R162" s="6"/>
      <x:c r="S162" s="4"/>
      <x:c r="T162" s="4"/>
      <x:c r="U162" s="6"/>
      <x:c r="V162" s="4"/>
      <x:c r="W162" s="4"/>
      <x:c r="X162" s="4"/>
      <x:c r="Y162" s="4"/>
      <x:c r="Z162" s="4"/>
    </x:row>
    <x:row r="163" customFormat="false" ht="20" hidden="false" customHeight="true" outlineLevel="0" collapsed="false">
      <x:c r="A163" s="4"/>
      <x:c r="B163" s="5"/>
      <x:c r="C163" s="4"/>
      <x:c r="D163" s="4"/>
      <x:c r="E163" s="4"/>
      <x:c r="F163" s="4"/>
      <x:c r="G163" s="4"/>
      <x:c r="H163" s="4"/>
      <x:c r="I163" s="4"/>
      <x:c r="J163" s="4"/>
      <x:c r="K163" s="4"/>
      <x:c r="L163" s="4"/>
      <x:c r="M163" s="4"/>
      <x:c r="N163" s="4"/>
      <x:c r="O163" s="4"/>
      <x:c r="P163" s="4"/>
      <x:c r="Q163" s="4"/>
      <x:c r="R163" s="6"/>
      <x:c r="S163" s="4"/>
      <x:c r="T163" s="4"/>
      <x:c r="U163" s="6"/>
      <x:c r="V163" s="4"/>
      <x:c r="W163" s="4"/>
      <x:c r="X163" s="4"/>
      <x:c r="Y163" s="4"/>
      <x:c r="Z163" s="4"/>
    </x:row>
    <x:row r="164" customFormat="false" ht="20" hidden="false" customHeight="true" outlineLevel="0" collapsed="false">
      <x:c r="A164" s="4"/>
      <x:c r="B164" s="5"/>
      <x:c r="C164" s="4"/>
      <x:c r="D164" s="4"/>
      <x:c r="E164" s="4"/>
      <x:c r="F164" s="4"/>
      <x:c r="G164" s="4"/>
      <x:c r="H164" s="4"/>
      <x:c r="I164" s="4"/>
      <x:c r="J164" s="4"/>
      <x:c r="K164" s="4"/>
      <x:c r="L164" s="4"/>
      <x:c r="M164" s="4"/>
      <x:c r="N164" s="4"/>
      <x:c r="O164" s="4"/>
      <x:c r="P164" s="4"/>
      <x:c r="Q164" s="4"/>
      <x:c r="R164" s="6"/>
      <x:c r="S164" s="4"/>
      <x:c r="T164" s="4"/>
      <x:c r="U164" s="6"/>
      <x:c r="V164" s="4"/>
      <x:c r="W164" s="4"/>
      <x:c r="X164" s="4"/>
      <x:c r="Y164" s="4"/>
      <x:c r="Z164" s="4"/>
    </x:row>
    <x:row r="165" customFormat="false" ht="20" hidden="false" customHeight="true" outlineLevel="0" collapsed="false">
      <x:c r="A165" s="4"/>
      <x:c r="B165" s="5"/>
      <x:c r="C165" s="4"/>
      <x:c r="D165" s="4"/>
      <x:c r="E165" s="4"/>
      <x:c r="F165" s="4"/>
      <x:c r="G165" s="4"/>
      <x:c r="H165" s="4"/>
      <x:c r="I165" s="4"/>
      <x:c r="J165" s="4"/>
      <x:c r="K165" s="4"/>
      <x:c r="L165" s="4"/>
      <x:c r="M165" s="4"/>
      <x:c r="N165" s="4"/>
      <x:c r="O165" s="4"/>
      <x:c r="P165" s="4"/>
      <x:c r="Q165" s="4"/>
      <x:c r="R165" s="6"/>
      <x:c r="S165" s="4"/>
      <x:c r="T165" s="4"/>
      <x:c r="U165" s="6"/>
      <x:c r="V165" s="4"/>
      <x:c r="W165" s="4"/>
      <x:c r="X165" s="4"/>
      <x:c r="Y165" s="4"/>
      <x:c r="Z165" s="4"/>
    </x:row>
    <x:row r="166" customFormat="false" ht="20" hidden="false" customHeight="true" outlineLevel="0" collapsed="false">
      <x:c r="A166" s="4"/>
      <x:c r="B166" s="5"/>
      <x:c r="C166" s="4"/>
      <x:c r="D166" s="4"/>
      <x:c r="E166" s="4"/>
      <x:c r="F166" s="4"/>
      <x:c r="G166" s="4"/>
      <x:c r="H166" s="4"/>
      <x:c r="I166" s="4"/>
      <x:c r="J166" s="4"/>
      <x:c r="K166" s="4"/>
      <x:c r="L166" s="4"/>
      <x:c r="M166" s="4"/>
      <x:c r="N166" s="4"/>
      <x:c r="O166" s="4"/>
      <x:c r="P166" s="4"/>
      <x:c r="Q166" s="4"/>
      <x:c r="R166" s="6"/>
      <x:c r="S166" s="4"/>
      <x:c r="T166" s="4"/>
      <x:c r="U166" s="6"/>
      <x:c r="V166" s="4"/>
      <x:c r="W166" s="4"/>
      <x:c r="X166" s="4"/>
      <x:c r="Y166" s="4"/>
      <x:c r="Z166" s="4"/>
    </x:row>
    <x:row r="167" customFormat="false" ht="20" hidden="false" customHeight="true" outlineLevel="0" collapsed="false">
      <x:c r="A167" s="4"/>
      <x:c r="B167" s="5"/>
      <x:c r="C167" s="4"/>
      <x:c r="D167" s="4"/>
      <x:c r="E167" s="4"/>
      <x:c r="F167" s="4"/>
      <x:c r="G167" s="4"/>
      <x:c r="H167" s="4"/>
      <x:c r="I167" s="4"/>
      <x:c r="J167" s="4"/>
      <x:c r="K167" s="4"/>
      <x:c r="L167" s="4"/>
      <x:c r="M167" s="4"/>
      <x:c r="N167" s="4"/>
      <x:c r="O167" s="4"/>
      <x:c r="P167" s="4"/>
      <x:c r="Q167" s="4"/>
      <x:c r="R167" s="6"/>
      <x:c r="S167" s="4"/>
      <x:c r="T167" s="4"/>
      <x:c r="U167" s="6"/>
      <x:c r="V167" s="4"/>
      <x:c r="W167" s="4"/>
      <x:c r="X167" s="4"/>
      <x:c r="Y167" s="4"/>
      <x:c r="Z167" s="4"/>
    </x:row>
    <x:row r="168" customFormat="false" ht="20" hidden="false" customHeight="true" outlineLevel="0" collapsed="false">
      <x:c r="A168" s="4"/>
      <x:c r="B168" s="5"/>
      <x:c r="C168" s="4"/>
      <x:c r="D168" s="4"/>
      <x:c r="E168" s="4"/>
      <x:c r="F168" s="4"/>
      <x:c r="G168" s="4"/>
      <x:c r="H168" s="4"/>
      <x:c r="I168" s="4"/>
      <x:c r="J168" s="4"/>
      <x:c r="K168" s="4"/>
      <x:c r="L168" s="4"/>
      <x:c r="M168" s="4"/>
      <x:c r="N168" s="4"/>
      <x:c r="O168" s="4"/>
      <x:c r="P168" s="4"/>
      <x:c r="Q168" s="4"/>
      <x:c r="R168" s="6"/>
      <x:c r="S168" s="4"/>
      <x:c r="T168" s="4"/>
      <x:c r="U168" s="6"/>
      <x:c r="V168" s="4"/>
      <x:c r="W168" s="4"/>
      <x:c r="X168" s="4"/>
      <x:c r="Y168" s="4"/>
      <x:c r="Z168" s="4"/>
    </x:row>
    <x:row r="169" customFormat="false" ht="20" hidden="false" customHeight="true" outlineLevel="0" collapsed="false">
      <x:c r="A169" s="4"/>
      <x:c r="B169" s="5"/>
      <x:c r="C169" s="4"/>
      <x:c r="D169" s="4"/>
      <x:c r="E169" s="4"/>
      <x:c r="F169" s="4"/>
      <x:c r="G169" s="4"/>
      <x:c r="H169" s="4"/>
      <x:c r="I169" s="4"/>
      <x:c r="J169" s="4"/>
      <x:c r="K169" s="4"/>
      <x:c r="L169" s="4"/>
      <x:c r="M169" s="4"/>
      <x:c r="N169" s="4"/>
      <x:c r="O169" s="4"/>
      <x:c r="P169" s="4"/>
      <x:c r="Q169" s="4"/>
      <x:c r="R169" s="6"/>
      <x:c r="S169" s="4"/>
      <x:c r="T169" s="4"/>
      <x:c r="U169" s="6"/>
      <x:c r="V169" s="4"/>
      <x:c r="W169" s="4"/>
      <x:c r="X169" s="4"/>
      <x:c r="Y169" s="4"/>
      <x:c r="Z169" s="4"/>
    </x:row>
    <x:row r="170" customFormat="false" ht="20" hidden="false" customHeight="true" outlineLevel="0" collapsed="false">
      <x:c r="A170" s="4"/>
      <x:c r="B170" s="5"/>
      <x:c r="C170" s="4"/>
      <x:c r="D170" s="4"/>
      <x:c r="E170" s="4"/>
      <x:c r="F170" s="4"/>
      <x:c r="G170" s="4"/>
      <x:c r="H170" s="4"/>
      <x:c r="I170" s="4"/>
      <x:c r="J170" s="4"/>
      <x:c r="K170" s="4"/>
      <x:c r="L170" s="4"/>
      <x:c r="M170" s="4"/>
      <x:c r="N170" s="4"/>
      <x:c r="O170" s="4"/>
      <x:c r="P170" s="4"/>
      <x:c r="Q170" s="4"/>
      <x:c r="R170" s="6"/>
      <x:c r="S170" s="4"/>
      <x:c r="T170" s="4"/>
      <x:c r="U170" s="6"/>
      <x:c r="V170" s="4"/>
      <x:c r="W170" s="4"/>
      <x:c r="X170" s="4"/>
      <x:c r="Y170" s="4"/>
      <x:c r="Z170" s="4"/>
    </x:row>
    <x:row r="171" customFormat="false" ht="20" hidden="false" customHeight="true" outlineLevel="0" collapsed="false">
      <x:c r="A171" s="4"/>
      <x:c r="B171" s="5"/>
      <x:c r="C171" s="4"/>
      <x:c r="D171" s="4"/>
      <x:c r="E171" s="4"/>
      <x:c r="F171" s="4"/>
      <x:c r="G171" s="4"/>
      <x:c r="H171" s="4"/>
      <x:c r="I171" s="4"/>
      <x:c r="J171" s="4"/>
      <x:c r="K171" s="4"/>
      <x:c r="L171" s="4"/>
      <x:c r="M171" s="4"/>
      <x:c r="N171" s="4"/>
      <x:c r="O171" s="4"/>
      <x:c r="P171" s="4"/>
      <x:c r="Q171" s="4"/>
      <x:c r="R171" s="6"/>
      <x:c r="S171" s="4"/>
      <x:c r="T171" s="4"/>
      <x:c r="U171" s="6"/>
      <x:c r="V171" s="4"/>
      <x:c r="W171" s="4"/>
      <x:c r="X171" s="4"/>
      <x:c r="Y171" s="4"/>
      <x:c r="Z171" s="4"/>
    </x:row>
    <x:row r="172" customFormat="false" ht="20" hidden="false" customHeight="true" outlineLevel="0" collapsed="false">
      <x:c r="A172" s="4"/>
      <x:c r="B172" s="5"/>
      <x:c r="C172" s="4"/>
      <x:c r="D172" s="4"/>
      <x:c r="E172" s="4"/>
      <x:c r="F172" s="4"/>
      <x:c r="G172" s="4"/>
      <x:c r="H172" s="4"/>
      <x:c r="I172" s="4"/>
      <x:c r="J172" s="4"/>
      <x:c r="K172" s="4"/>
      <x:c r="L172" s="4"/>
      <x:c r="M172" s="4"/>
      <x:c r="N172" s="4"/>
      <x:c r="O172" s="4"/>
      <x:c r="P172" s="4"/>
      <x:c r="Q172" s="4"/>
      <x:c r="R172" s="6"/>
      <x:c r="S172" s="4"/>
      <x:c r="T172" s="4"/>
      <x:c r="U172" s="6"/>
      <x:c r="V172" s="4"/>
      <x:c r="W172" s="4"/>
      <x:c r="X172" s="4"/>
      <x:c r="Y172" s="4"/>
      <x:c r="Z172" s="4"/>
    </x:row>
    <x:row r="173" customFormat="false" ht="20" hidden="false" customHeight="true" outlineLevel="0" collapsed="false">
      <x:c r="A173" s="4"/>
      <x:c r="B173" s="5"/>
      <x:c r="C173" s="4"/>
      <x:c r="D173" s="4"/>
      <x:c r="E173" s="4"/>
      <x:c r="F173" s="4"/>
      <x:c r="G173" s="4"/>
      <x:c r="H173" s="4"/>
      <x:c r="I173" s="4"/>
      <x:c r="J173" s="4"/>
      <x:c r="K173" s="4"/>
      <x:c r="L173" s="4"/>
      <x:c r="M173" s="4"/>
      <x:c r="N173" s="4"/>
      <x:c r="O173" s="4"/>
      <x:c r="P173" s="4"/>
      <x:c r="Q173" s="4"/>
      <x:c r="R173" s="6"/>
      <x:c r="S173" s="4"/>
      <x:c r="T173" s="4"/>
      <x:c r="U173" s="6"/>
      <x:c r="V173" s="4"/>
      <x:c r="W173" s="4"/>
      <x:c r="X173" s="4"/>
      <x:c r="Y173" s="4"/>
      <x:c r="Z173" s="4"/>
    </x:row>
    <x:row r="174" customFormat="false" ht="20" hidden="false" customHeight="true" outlineLevel="0" collapsed="false">
      <x:c r="A174" s="4"/>
      <x:c r="B174" s="5"/>
      <x:c r="C174" s="4"/>
      <x:c r="D174" s="4"/>
      <x:c r="E174" s="4"/>
      <x:c r="F174" s="4"/>
      <x:c r="G174" s="4"/>
      <x:c r="H174" s="4"/>
      <x:c r="I174" s="4"/>
      <x:c r="J174" s="4"/>
      <x:c r="K174" s="4"/>
      <x:c r="L174" s="4"/>
      <x:c r="M174" s="4"/>
      <x:c r="N174" s="4"/>
      <x:c r="O174" s="4"/>
      <x:c r="P174" s="4"/>
      <x:c r="Q174" s="4"/>
      <x:c r="R174" s="6"/>
      <x:c r="S174" s="4"/>
      <x:c r="T174" s="4"/>
      <x:c r="U174" s="6"/>
      <x:c r="V174" s="4"/>
      <x:c r="W174" s="4"/>
      <x:c r="X174" s="4"/>
      <x:c r="Y174" s="4"/>
      <x:c r="Z174" s="4"/>
    </x:row>
    <x:row r="175" customFormat="false" ht="20" hidden="false" customHeight="true" outlineLevel="0" collapsed="false">
      <x:c r="A175" s="4"/>
      <x:c r="B175" s="5"/>
      <x:c r="C175" s="4"/>
      <x:c r="D175" s="4"/>
      <x:c r="E175" s="4"/>
      <x:c r="F175" s="4"/>
      <x:c r="G175" s="4"/>
      <x:c r="H175" s="4"/>
      <x:c r="I175" s="4"/>
      <x:c r="J175" s="4"/>
      <x:c r="K175" s="4"/>
      <x:c r="L175" s="4"/>
      <x:c r="M175" s="4"/>
      <x:c r="N175" s="4"/>
      <x:c r="O175" s="4"/>
      <x:c r="P175" s="4"/>
      <x:c r="Q175" s="4"/>
      <x:c r="R175" s="6"/>
      <x:c r="S175" s="4"/>
      <x:c r="T175" s="4"/>
      <x:c r="U175" s="6"/>
      <x:c r="V175" s="4"/>
      <x:c r="W175" s="4"/>
      <x:c r="X175" s="4"/>
      <x:c r="Y175" s="4"/>
      <x:c r="Z175" s="4"/>
    </x:row>
    <x:row r="176" customFormat="false" ht="20" hidden="false" customHeight="true" outlineLevel="0" collapsed="false">
      <x:c r="A176" s="4"/>
      <x:c r="B176" s="5"/>
      <x:c r="C176" s="4"/>
      <x:c r="D176" s="4"/>
      <x:c r="E176" s="4"/>
      <x:c r="F176" s="4"/>
      <x:c r="G176" s="4"/>
      <x:c r="H176" s="4"/>
      <x:c r="I176" s="4"/>
      <x:c r="J176" s="4"/>
      <x:c r="K176" s="4"/>
      <x:c r="L176" s="4"/>
      <x:c r="M176" s="4"/>
      <x:c r="N176" s="4"/>
      <x:c r="O176" s="4"/>
      <x:c r="P176" s="4"/>
      <x:c r="Q176" s="4"/>
      <x:c r="R176" s="6"/>
      <x:c r="S176" s="4"/>
      <x:c r="T176" s="4"/>
      <x:c r="U176" s="6"/>
      <x:c r="V176" s="4"/>
      <x:c r="W176" s="4"/>
      <x:c r="X176" s="4"/>
      <x:c r="Y176" s="4"/>
      <x:c r="Z176" s="4"/>
    </x:row>
    <x:row r="177" customFormat="false" ht="20" hidden="false" customHeight="true" outlineLevel="0" collapsed="false">
      <x:c r="A177" s="4"/>
      <x:c r="B177" s="5"/>
      <x:c r="C177" s="4"/>
      <x:c r="D177" s="4"/>
      <x:c r="E177" s="4"/>
      <x:c r="F177" s="4"/>
      <x:c r="G177" s="4"/>
      <x:c r="H177" s="4"/>
      <x:c r="I177" s="4"/>
      <x:c r="J177" s="4"/>
      <x:c r="K177" s="4"/>
      <x:c r="L177" s="4"/>
      <x:c r="M177" s="4"/>
      <x:c r="N177" s="4"/>
      <x:c r="O177" s="4"/>
      <x:c r="P177" s="4"/>
      <x:c r="Q177" s="4"/>
      <x:c r="R177" s="6"/>
      <x:c r="S177" s="4"/>
      <x:c r="T177" s="4"/>
      <x:c r="U177" s="6"/>
      <x:c r="V177" s="4"/>
      <x:c r="W177" s="4"/>
      <x:c r="X177" s="4"/>
      <x:c r="Y177" s="4"/>
      <x:c r="Z177" s="4"/>
    </x:row>
    <x:row r="178" customFormat="false" ht="20" hidden="false" customHeight="true" outlineLevel="0" collapsed="false">
      <x:c r="A178" s="4"/>
      <x:c r="B178" s="5"/>
      <x:c r="C178" s="4"/>
      <x:c r="D178" s="4"/>
      <x:c r="E178" s="4"/>
      <x:c r="F178" s="4"/>
      <x:c r="G178" s="4"/>
      <x:c r="H178" s="4"/>
      <x:c r="I178" s="4"/>
      <x:c r="J178" s="4"/>
      <x:c r="K178" s="4"/>
      <x:c r="L178" s="4"/>
      <x:c r="M178" s="4"/>
      <x:c r="N178" s="4"/>
      <x:c r="O178" s="4"/>
      <x:c r="P178" s="4"/>
      <x:c r="Q178" s="4"/>
      <x:c r="R178" s="6"/>
      <x:c r="S178" s="4"/>
      <x:c r="T178" s="4"/>
      <x:c r="U178" s="6"/>
      <x:c r="V178" s="4"/>
      <x:c r="W178" s="4"/>
      <x:c r="X178" s="4"/>
      <x:c r="Y178" s="4"/>
      <x:c r="Z178" s="4"/>
    </x:row>
    <x:row r="179" customFormat="false" ht="20" hidden="false" customHeight="true" outlineLevel="0" collapsed="false">
      <x:c r="A179" s="4"/>
      <x:c r="B179" s="5"/>
      <x:c r="C179" s="4"/>
      <x:c r="D179" s="4"/>
      <x:c r="E179" s="4"/>
      <x:c r="F179" s="4"/>
      <x:c r="G179" s="4"/>
      <x:c r="H179" s="4"/>
      <x:c r="I179" s="4"/>
      <x:c r="J179" s="4"/>
      <x:c r="K179" s="4"/>
      <x:c r="L179" s="4"/>
      <x:c r="M179" s="4"/>
      <x:c r="N179" s="4"/>
      <x:c r="O179" s="4"/>
      <x:c r="P179" s="4"/>
      <x:c r="Q179" s="4"/>
      <x:c r="R179" s="6"/>
      <x:c r="S179" s="4"/>
      <x:c r="T179" s="4"/>
      <x:c r="U179" s="6"/>
      <x:c r="V179" s="4"/>
      <x:c r="W179" s="4"/>
      <x:c r="X179" s="4"/>
      <x:c r="Y179" s="4"/>
      <x:c r="Z179" s="4"/>
    </x:row>
    <x:row r="180" customFormat="false" ht="20" hidden="false" customHeight="true" outlineLevel="0" collapsed="false">
      <x:c r="A180" s="4"/>
      <x:c r="B180" s="5"/>
      <x:c r="C180" s="4"/>
      <x:c r="D180" s="4"/>
      <x:c r="E180" s="4"/>
      <x:c r="F180" s="4"/>
      <x:c r="G180" s="4"/>
      <x:c r="H180" s="4"/>
      <x:c r="I180" s="4"/>
      <x:c r="J180" s="4"/>
      <x:c r="K180" s="4"/>
      <x:c r="L180" s="4"/>
      <x:c r="M180" s="4"/>
      <x:c r="N180" s="4"/>
      <x:c r="O180" s="4"/>
      <x:c r="P180" s="4"/>
      <x:c r="Q180" s="4"/>
      <x:c r="R180" s="6"/>
      <x:c r="S180" s="4"/>
      <x:c r="T180" s="4"/>
      <x:c r="U180" s="6"/>
      <x:c r="V180" s="4"/>
      <x:c r="W180" s="4"/>
      <x:c r="X180" s="4"/>
      <x:c r="Y180" s="4"/>
      <x:c r="Z180" s="4"/>
    </x:row>
    <x:row r="181" customFormat="false" ht="20" hidden="false" customHeight="true" outlineLevel="0" collapsed="false">
      <x:c r="A181" s="4"/>
      <x:c r="B181" s="5"/>
      <x:c r="C181" s="4"/>
      <x:c r="D181" s="4"/>
      <x:c r="E181" s="4"/>
      <x:c r="F181" s="4"/>
      <x:c r="G181" s="4"/>
      <x:c r="H181" s="4"/>
      <x:c r="I181" s="4"/>
      <x:c r="J181" s="4"/>
      <x:c r="K181" s="4"/>
      <x:c r="L181" s="4"/>
      <x:c r="M181" s="4"/>
      <x:c r="N181" s="4"/>
      <x:c r="O181" s="4"/>
      <x:c r="P181" s="4"/>
      <x:c r="Q181" s="4"/>
      <x:c r="R181" s="6"/>
      <x:c r="S181" s="4"/>
      <x:c r="T181" s="4"/>
      <x:c r="U181" s="6"/>
      <x:c r="V181" s="4"/>
      <x:c r="W181" s="4"/>
      <x:c r="X181" s="4"/>
      <x:c r="Y181" s="4"/>
      <x:c r="Z181" s="4"/>
    </x:row>
    <x:row r="182" customFormat="false" ht="20" hidden="false" customHeight="true" outlineLevel="0" collapsed="false">
      <x:c r="A182" s="4"/>
      <x:c r="B182" s="5"/>
      <x:c r="C182" s="4"/>
      <x:c r="D182" s="4"/>
      <x:c r="E182" s="4"/>
      <x:c r="F182" s="4"/>
      <x:c r="G182" s="4"/>
      <x:c r="H182" s="4"/>
      <x:c r="I182" s="4"/>
      <x:c r="J182" s="4"/>
      <x:c r="K182" s="4"/>
      <x:c r="L182" s="4"/>
      <x:c r="M182" s="4"/>
      <x:c r="N182" s="4"/>
      <x:c r="O182" s="4"/>
      <x:c r="P182" s="4"/>
      <x:c r="Q182" s="4"/>
      <x:c r="R182" s="6"/>
      <x:c r="S182" s="4"/>
      <x:c r="T182" s="4"/>
      <x:c r="U182" s="6"/>
      <x:c r="V182" s="4"/>
      <x:c r="W182" s="4"/>
      <x:c r="X182" s="4"/>
      <x:c r="Y182" s="4"/>
      <x:c r="Z182" s="4"/>
    </x:row>
    <x:row r="183" customFormat="false" ht="20" hidden="false" customHeight="true" outlineLevel="0" collapsed="false">
      <x:c r="A183" s="4"/>
      <x:c r="B183" s="5"/>
      <x:c r="C183" s="4"/>
      <x:c r="D183" s="4"/>
      <x:c r="E183" s="4"/>
      <x:c r="F183" s="4"/>
      <x:c r="G183" s="4"/>
      <x:c r="H183" s="4"/>
      <x:c r="I183" s="4"/>
      <x:c r="J183" s="4"/>
      <x:c r="K183" s="4"/>
      <x:c r="L183" s="4"/>
      <x:c r="M183" s="4"/>
      <x:c r="N183" s="4"/>
      <x:c r="O183" s="4"/>
      <x:c r="P183" s="4"/>
      <x:c r="Q183" s="4"/>
      <x:c r="R183" s="6"/>
      <x:c r="S183" s="4"/>
      <x:c r="T183" s="4"/>
      <x:c r="U183" s="6"/>
      <x:c r="V183" s="4"/>
      <x:c r="W183" s="4"/>
      <x:c r="X183" s="4"/>
      <x:c r="Y183" s="4"/>
      <x:c r="Z183" s="4"/>
    </x:row>
    <x:row r="184" customFormat="false" ht="20" hidden="false" customHeight="true" outlineLevel="0" collapsed="false">
      <x:c r="A184" s="4"/>
      <x:c r="B184" s="5"/>
      <x:c r="C184" s="4"/>
      <x:c r="D184" s="4"/>
      <x:c r="E184" s="4"/>
      <x:c r="F184" s="4"/>
      <x:c r="G184" s="4"/>
      <x:c r="H184" s="4"/>
      <x:c r="I184" s="4"/>
      <x:c r="J184" s="4"/>
      <x:c r="K184" s="4"/>
      <x:c r="L184" s="4"/>
      <x:c r="M184" s="4"/>
      <x:c r="N184" s="4"/>
      <x:c r="O184" s="4"/>
      <x:c r="P184" s="4"/>
      <x:c r="Q184" s="4"/>
      <x:c r="R184" s="6"/>
      <x:c r="S184" s="4"/>
      <x:c r="T184" s="4"/>
      <x:c r="U184" s="6"/>
      <x:c r="V184" s="4"/>
      <x:c r="W184" s="4"/>
      <x:c r="X184" s="4"/>
      <x:c r="Y184" s="4"/>
      <x:c r="Z184" s="4"/>
    </x:row>
    <x:row r="185" customFormat="false" ht="20" hidden="false" customHeight="true" outlineLevel="0" collapsed="false">
      <x:c r="A185" s="4"/>
      <x:c r="B185" s="5"/>
      <x:c r="C185" s="4"/>
      <x:c r="D185" s="4"/>
      <x:c r="E185" s="4"/>
      <x:c r="F185" s="4"/>
      <x:c r="G185" s="4"/>
      <x:c r="H185" s="4"/>
      <x:c r="I185" s="4"/>
      <x:c r="J185" s="4"/>
      <x:c r="K185" s="4"/>
      <x:c r="L185" s="4"/>
      <x:c r="M185" s="4"/>
      <x:c r="N185" s="4"/>
      <x:c r="O185" s="4"/>
      <x:c r="P185" s="4"/>
      <x:c r="Q185" s="4"/>
      <x:c r="R185" s="6"/>
      <x:c r="S185" s="4"/>
      <x:c r="T185" s="4"/>
      <x:c r="U185" s="6"/>
      <x:c r="V185" s="4"/>
      <x:c r="W185" s="4"/>
      <x:c r="X185" s="4"/>
      <x:c r="Y185" s="4"/>
      <x:c r="Z185" s="4"/>
    </x:row>
    <x:row r="186" customFormat="false" ht="20" hidden="false" customHeight="true" outlineLevel="0" collapsed="false">
      <x:c r="A186" s="4"/>
      <x:c r="B186" s="5"/>
      <x:c r="C186" s="4"/>
      <x:c r="D186" s="4"/>
      <x:c r="E186" s="4"/>
      <x:c r="F186" s="4"/>
      <x:c r="G186" s="4"/>
      <x:c r="H186" s="4"/>
      <x:c r="I186" s="4"/>
      <x:c r="J186" s="4"/>
      <x:c r="K186" s="4"/>
      <x:c r="L186" s="4"/>
      <x:c r="M186" s="4"/>
      <x:c r="N186" s="4"/>
      <x:c r="O186" s="4"/>
      <x:c r="P186" s="4"/>
      <x:c r="Q186" s="4"/>
      <x:c r="R186" s="6"/>
      <x:c r="S186" s="4"/>
      <x:c r="T186" s="4"/>
      <x:c r="U186" s="6"/>
      <x:c r="V186" s="4"/>
      <x:c r="W186" s="4"/>
      <x:c r="X186" s="4"/>
      <x:c r="Y186" s="4"/>
      <x:c r="Z186" s="4"/>
    </x:row>
    <x:row r="187" customFormat="false" ht="20" hidden="false" customHeight="true" outlineLevel="0" collapsed="false">
      <x:c r="A187" s="4"/>
      <x:c r="B187" s="5"/>
      <x:c r="C187" s="4"/>
      <x:c r="D187" s="4"/>
      <x:c r="E187" s="4"/>
      <x:c r="F187" s="4"/>
      <x:c r="G187" s="4"/>
      <x:c r="H187" s="4"/>
      <x:c r="I187" s="4"/>
      <x:c r="J187" s="4"/>
      <x:c r="K187" s="4"/>
      <x:c r="L187" s="4"/>
      <x:c r="M187" s="4"/>
      <x:c r="N187" s="4"/>
      <x:c r="O187" s="4"/>
      <x:c r="P187" s="4"/>
      <x:c r="Q187" s="4"/>
      <x:c r="R187" s="6"/>
      <x:c r="S187" s="4"/>
      <x:c r="T187" s="4"/>
      <x:c r="U187" s="6"/>
      <x:c r="V187" s="4"/>
      <x:c r="W187" s="4"/>
      <x:c r="X187" s="4"/>
      <x:c r="Y187" s="4"/>
      <x:c r="Z187" s="4"/>
    </x:row>
    <x:row r="188" customFormat="false" ht="20" hidden="false" customHeight="true" outlineLevel="0" collapsed="false">
      <x:c r="A188" s="4"/>
      <x:c r="B188" s="5"/>
      <x:c r="C188" s="4"/>
      <x:c r="D188" s="4"/>
      <x:c r="E188" s="4"/>
      <x:c r="F188" s="4"/>
      <x:c r="G188" s="4"/>
      <x:c r="H188" s="4"/>
      <x:c r="I188" s="4"/>
      <x:c r="J188" s="4"/>
      <x:c r="K188" s="4"/>
      <x:c r="L188" s="4"/>
      <x:c r="M188" s="4"/>
      <x:c r="N188" s="4"/>
      <x:c r="O188" s="4"/>
      <x:c r="P188" s="4"/>
      <x:c r="Q188" s="4"/>
      <x:c r="R188" s="6"/>
      <x:c r="S188" s="4"/>
      <x:c r="T188" s="4"/>
      <x:c r="U188" s="6"/>
      <x:c r="V188" s="4"/>
      <x:c r="W188" s="4"/>
      <x:c r="X188" s="4"/>
      <x:c r="Y188" s="4"/>
      <x:c r="Z188" s="4"/>
    </x:row>
    <x:row r="189" customFormat="false" ht="20" hidden="false" customHeight="true" outlineLevel="0" collapsed="false">
      <x:c r="A189" s="4"/>
      <x:c r="B189" s="5"/>
      <x:c r="C189" s="4"/>
      <x:c r="D189" s="4"/>
      <x:c r="E189" s="4"/>
      <x:c r="F189" s="4"/>
      <x:c r="G189" s="4"/>
      <x:c r="H189" s="4"/>
      <x:c r="I189" s="4"/>
      <x:c r="J189" s="4"/>
      <x:c r="K189" s="4"/>
      <x:c r="L189" s="4"/>
      <x:c r="M189" s="4"/>
      <x:c r="N189" s="4"/>
      <x:c r="O189" s="4"/>
      <x:c r="P189" s="4"/>
      <x:c r="Q189" s="4"/>
      <x:c r="R189" s="6"/>
      <x:c r="S189" s="4"/>
      <x:c r="T189" s="4"/>
      <x:c r="U189" s="6"/>
      <x:c r="V189" s="4"/>
      <x:c r="W189" s="4"/>
      <x:c r="X189" s="4"/>
      <x:c r="Y189" s="4"/>
      <x:c r="Z189" s="4"/>
    </x:row>
    <x:row r="190" customFormat="false" ht="20" hidden="false" customHeight="true" outlineLevel="0" collapsed="false">
      <x:c r="A190" s="4"/>
      <x:c r="B190" s="5"/>
      <x:c r="C190" s="4"/>
      <x:c r="D190" s="4"/>
      <x:c r="E190" s="4"/>
      <x:c r="F190" s="4"/>
      <x:c r="G190" s="4"/>
      <x:c r="H190" s="4"/>
      <x:c r="I190" s="4"/>
      <x:c r="J190" s="4"/>
      <x:c r="K190" s="4"/>
      <x:c r="L190" s="4"/>
      <x:c r="M190" s="4"/>
      <x:c r="N190" s="4"/>
      <x:c r="O190" s="4"/>
      <x:c r="P190" s="4"/>
      <x:c r="Q190" s="4"/>
      <x:c r="R190" s="6"/>
      <x:c r="S190" s="4"/>
      <x:c r="T190" s="4"/>
      <x:c r="U190" s="6"/>
      <x:c r="V190" s="4"/>
      <x:c r="W190" s="4"/>
      <x:c r="X190" s="4"/>
      <x:c r="Y190" s="4"/>
      <x:c r="Z190" s="4"/>
    </x:row>
    <x:row r="191" customFormat="false" ht="20" hidden="false" customHeight="true" outlineLevel="0" collapsed="false">
      <x:c r="A191" s="4"/>
      <x:c r="B191" s="5"/>
      <x:c r="C191" s="4"/>
      <x:c r="D191" s="4"/>
      <x:c r="E191" s="4"/>
      <x:c r="F191" s="4"/>
      <x:c r="G191" s="4"/>
      <x:c r="H191" s="4"/>
      <x:c r="I191" s="4"/>
      <x:c r="J191" s="4"/>
      <x:c r="K191" s="4"/>
      <x:c r="L191" s="4"/>
      <x:c r="M191" s="4"/>
      <x:c r="N191" s="4"/>
      <x:c r="O191" s="4"/>
      <x:c r="P191" s="4"/>
      <x:c r="Q191" s="4"/>
      <x:c r="R191" s="6"/>
      <x:c r="S191" s="4"/>
      <x:c r="T191" s="4"/>
      <x:c r="U191" s="6"/>
      <x:c r="V191" s="4"/>
      <x:c r="W191" s="4"/>
      <x:c r="X191" s="4"/>
      <x:c r="Y191" s="4"/>
      <x:c r="Z191" s="4"/>
    </x:row>
    <x:row r="192" customFormat="false" ht="20" hidden="false" customHeight="true" outlineLevel="0" collapsed="false">
      <x:c r="A192" s="4"/>
      <x:c r="B192" s="5"/>
      <x:c r="C192" s="4"/>
      <x:c r="D192" s="4"/>
      <x:c r="E192" s="4"/>
      <x:c r="F192" s="4"/>
      <x:c r="G192" s="4"/>
      <x:c r="H192" s="4"/>
      <x:c r="I192" s="4"/>
      <x:c r="J192" s="4"/>
      <x:c r="K192" s="4"/>
      <x:c r="L192" s="4"/>
      <x:c r="M192" s="4"/>
      <x:c r="N192" s="4"/>
      <x:c r="O192" s="4"/>
      <x:c r="P192" s="4"/>
      <x:c r="Q192" s="4"/>
      <x:c r="R192" s="6"/>
      <x:c r="S192" s="4"/>
      <x:c r="T192" s="4"/>
      <x:c r="U192" s="6"/>
      <x:c r="V192" s="4"/>
      <x:c r="W192" s="4"/>
      <x:c r="X192" s="4"/>
      <x:c r="Y192" s="4"/>
      <x:c r="Z192" s="4"/>
    </x:row>
    <x:row r="193" customFormat="false" ht="20" hidden="false" customHeight="true" outlineLevel="0" collapsed="false">
      <x:c r="A193" s="4"/>
      <x:c r="B193" s="5"/>
      <x:c r="C193" s="4"/>
      <x:c r="D193" s="4"/>
      <x:c r="E193" s="4"/>
      <x:c r="F193" s="4"/>
      <x:c r="G193" s="4"/>
      <x:c r="H193" s="4"/>
      <x:c r="I193" s="4"/>
      <x:c r="J193" s="4"/>
      <x:c r="K193" s="4"/>
      <x:c r="L193" s="4"/>
      <x:c r="M193" s="4"/>
      <x:c r="N193" s="4"/>
      <x:c r="O193" s="4"/>
      <x:c r="P193" s="4"/>
      <x:c r="Q193" s="4"/>
      <x:c r="R193" s="6"/>
      <x:c r="S193" s="4"/>
      <x:c r="T193" s="4"/>
      <x:c r="U193" s="6"/>
      <x:c r="V193" s="4"/>
      <x:c r="W193" s="4"/>
      <x:c r="X193" s="4"/>
      <x:c r="Y193" s="4"/>
      <x:c r="Z193" s="4"/>
    </x:row>
    <x:row r="194" customFormat="false" ht="20" hidden="false" customHeight="true" outlineLevel="0" collapsed="false">
      <x:c r="A194" s="4"/>
      <x:c r="B194" s="5"/>
      <x:c r="C194" s="4"/>
      <x:c r="D194" s="4"/>
      <x:c r="E194" s="4"/>
      <x:c r="F194" s="4"/>
      <x:c r="G194" s="4"/>
      <x:c r="H194" s="4"/>
      <x:c r="I194" s="4"/>
      <x:c r="J194" s="4"/>
      <x:c r="K194" s="4"/>
      <x:c r="L194" s="4"/>
      <x:c r="M194" s="4"/>
      <x:c r="N194" s="4"/>
      <x:c r="O194" s="4"/>
      <x:c r="P194" s="4"/>
      <x:c r="Q194" s="4"/>
      <x:c r="R194" s="6"/>
      <x:c r="S194" s="4"/>
      <x:c r="T194" s="4"/>
      <x:c r="U194" s="6"/>
      <x:c r="V194" s="4"/>
      <x:c r="W194" s="4"/>
      <x:c r="X194" s="4"/>
      <x:c r="Y194" s="4"/>
      <x:c r="Z194" s="4"/>
    </x:row>
    <x:row r="195" customFormat="false" ht="20" hidden="false" customHeight="true" outlineLevel="0" collapsed="false">
      <x:c r="A195" s="4"/>
      <x:c r="B195" s="5"/>
      <x:c r="C195" s="4"/>
      <x:c r="D195" s="4"/>
      <x:c r="E195" s="4"/>
      <x:c r="F195" s="4"/>
      <x:c r="G195" s="4"/>
      <x:c r="H195" s="4"/>
      <x:c r="I195" s="4"/>
      <x:c r="J195" s="4"/>
      <x:c r="K195" s="4"/>
      <x:c r="L195" s="4"/>
      <x:c r="M195" s="4"/>
      <x:c r="N195" s="4"/>
      <x:c r="O195" s="4"/>
      <x:c r="P195" s="4"/>
      <x:c r="Q195" s="4"/>
      <x:c r="R195" s="6"/>
      <x:c r="S195" s="4"/>
      <x:c r="T195" s="4"/>
      <x:c r="U195" s="6"/>
      <x:c r="V195" s="4"/>
      <x:c r="W195" s="4"/>
      <x:c r="X195" s="4"/>
      <x:c r="Y195" s="4"/>
      <x:c r="Z195" s="4"/>
    </x:row>
    <x:row r="196" customFormat="false" ht="20" hidden="false" customHeight="true" outlineLevel="0" collapsed="false">
      <x:c r="A196" s="4"/>
      <x:c r="B196" s="5"/>
      <x:c r="C196" s="4"/>
      <x:c r="D196" s="4"/>
      <x:c r="E196" s="4"/>
      <x:c r="F196" s="4"/>
      <x:c r="G196" s="4"/>
      <x:c r="H196" s="4"/>
      <x:c r="I196" s="4"/>
      <x:c r="J196" s="4"/>
      <x:c r="K196" s="4"/>
      <x:c r="L196" s="4"/>
      <x:c r="M196" s="4"/>
      <x:c r="N196" s="4"/>
      <x:c r="O196" s="4"/>
      <x:c r="P196" s="4"/>
      <x:c r="Q196" s="4"/>
      <x:c r="R196" s="6"/>
      <x:c r="S196" s="4"/>
      <x:c r="T196" s="4"/>
      <x:c r="U196" s="6"/>
      <x:c r="V196" s="4"/>
      <x:c r="W196" s="4"/>
      <x:c r="X196" s="4"/>
      <x:c r="Y196" s="4"/>
      <x:c r="Z196" s="4"/>
    </x:row>
    <x:row r="197" customFormat="false" ht="20" hidden="false" customHeight="true" outlineLevel="0" collapsed="false">
      <x:c r="A197" s="4"/>
      <x:c r="B197" s="5"/>
      <x:c r="C197" s="4"/>
      <x:c r="D197" s="4"/>
      <x:c r="E197" s="4"/>
      <x:c r="F197" s="4"/>
      <x:c r="G197" s="4"/>
      <x:c r="H197" s="4"/>
      <x:c r="I197" s="4"/>
      <x:c r="J197" s="4"/>
      <x:c r="K197" s="4"/>
      <x:c r="L197" s="4"/>
      <x:c r="M197" s="4"/>
      <x:c r="N197" s="4"/>
      <x:c r="O197" s="4"/>
      <x:c r="P197" s="4"/>
      <x:c r="Q197" s="4"/>
      <x:c r="R197" s="6"/>
      <x:c r="S197" s="4"/>
      <x:c r="T197" s="4"/>
      <x:c r="U197" s="6"/>
      <x:c r="V197" s="4"/>
      <x:c r="W197" s="4"/>
      <x:c r="X197" s="4"/>
      <x:c r="Y197" s="4"/>
      <x:c r="Z197" s="4"/>
    </x:row>
    <x:row r="198" customFormat="false" ht="20" hidden="false" customHeight="true" outlineLevel="0" collapsed="false">
      <x:c r="A198" s="4"/>
      <x:c r="B198" s="5"/>
      <x:c r="C198" s="4"/>
      <x:c r="D198" s="4"/>
      <x:c r="E198" s="4"/>
      <x:c r="F198" s="4"/>
      <x:c r="G198" s="4"/>
      <x:c r="H198" s="4"/>
      <x:c r="I198" s="4"/>
      <x:c r="J198" s="4"/>
      <x:c r="K198" s="4"/>
      <x:c r="L198" s="4"/>
      <x:c r="M198" s="4"/>
      <x:c r="N198" s="4"/>
      <x:c r="O198" s="4"/>
      <x:c r="P198" s="4"/>
      <x:c r="Q198" s="4"/>
      <x:c r="R198" s="6"/>
      <x:c r="S198" s="4"/>
      <x:c r="T198" s="4"/>
      <x:c r="U198" s="6"/>
      <x:c r="V198" s="4"/>
      <x:c r="W198" s="4"/>
      <x:c r="X198" s="4"/>
      <x:c r="Y198" s="4"/>
      <x:c r="Z198" s="4"/>
    </x:row>
    <x:row r="199" customFormat="false" ht="20" hidden="false" customHeight="true" outlineLevel="0" collapsed="false">
      <x:c r="A199" s="4"/>
      <x:c r="B199" s="5"/>
      <x:c r="C199" s="4"/>
      <x:c r="D199" s="4"/>
      <x:c r="E199" s="4"/>
      <x:c r="F199" s="4"/>
      <x:c r="G199" s="4"/>
      <x:c r="H199" s="4"/>
      <x:c r="I199" s="4"/>
      <x:c r="J199" s="4"/>
      <x:c r="K199" s="4"/>
      <x:c r="L199" s="4"/>
      <x:c r="M199" s="4"/>
      <x:c r="N199" s="4"/>
      <x:c r="O199" s="4"/>
      <x:c r="P199" s="4"/>
      <x:c r="Q199" s="4"/>
      <x:c r="R199" s="6"/>
      <x:c r="S199" s="4"/>
      <x:c r="T199" s="4"/>
      <x:c r="U199" s="6"/>
      <x:c r="V199" s="4"/>
      <x:c r="W199" s="4"/>
      <x:c r="X199" s="4"/>
      <x:c r="Y199" s="4"/>
      <x:c r="Z199" s="4"/>
    </x:row>
    <x:row r="200" customFormat="false" ht="20" hidden="false" customHeight="true" outlineLevel="0" collapsed="false">
      <x:c r="A200" s="4"/>
      <x:c r="B200" s="5"/>
      <x:c r="C200" s="4"/>
      <x:c r="D200" s="4"/>
      <x:c r="E200" s="4"/>
      <x:c r="F200" s="4"/>
      <x:c r="G200" s="4"/>
      <x:c r="H200" s="4"/>
      <x:c r="I200" s="4"/>
      <x:c r="J200" s="4"/>
      <x:c r="K200" s="4"/>
      <x:c r="L200" s="4"/>
      <x:c r="M200" s="4"/>
      <x:c r="N200" s="4"/>
      <x:c r="O200" s="4"/>
      <x:c r="P200" s="4"/>
      <x:c r="Q200" s="4"/>
      <x:c r="R200" s="6"/>
      <x:c r="S200" s="4"/>
      <x:c r="T200" s="4"/>
      <x:c r="U200" s="6"/>
      <x:c r="V200" s="4"/>
      <x:c r="W200" s="4"/>
      <x:c r="X200" s="4"/>
      <x:c r="Y200" s="4"/>
      <x:c r="Z200" s="4"/>
    </x:row>
    <x:row r="201" customFormat="false" ht="20" hidden="false" customHeight="true" outlineLevel="0" collapsed="false">
      <x:c r="A201" s="4"/>
      <x:c r="B201" s="5"/>
      <x:c r="C201" s="4"/>
      <x:c r="D201" s="4"/>
      <x:c r="E201" s="4"/>
      <x:c r="F201" s="4"/>
      <x:c r="G201" s="4"/>
      <x:c r="H201" s="4"/>
      <x:c r="I201" s="4"/>
      <x:c r="J201" s="4"/>
      <x:c r="K201" s="4"/>
      <x:c r="L201" s="4"/>
      <x:c r="M201" s="4"/>
      <x:c r="N201" s="4"/>
      <x:c r="O201" s="4"/>
      <x:c r="P201" s="4"/>
      <x:c r="Q201" s="4"/>
      <x:c r="R201" s="6"/>
      <x:c r="S201" s="4"/>
      <x:c r="T201" s="4"/>
      <x:c r="U201" s="6"/>
      <x:c r="V201" s="4"/>
      <x:c r="W201" s="4"/>
      <x:c r="X201" s="4"/>
      <x:c r="Y201" s="4"/>
      <x:c r="Z201" s="4"/>
    </x:row>
    <x:row r="202" customFormat="false" ht="20" hidden="false" customHeight="true" outlineLevel="0" collapsed="false">
      <x:c r="A202" s="4"/>
      <x:c r="B202" s="5"/>
      <x:c r="C202" s="4"/>
      <x:c r="D202" s="4"/>
      <x:c r="E202" s="4"/>
      <x:c r="F202" s="4"/>
      <x:c r="G202" s="4"/>
      <x:c r="H202" s="4"/>
      <x:c r="I202" s="4"/>
      <x:c r="J202" s="4"/>
      <x:c r="K202" s="4"/>
      <x:c r="L202" s="4"/>
      <x:c r="M202" s="4"/>
      <x:c r="N202" s="4"/>
      <x:c r="O202" s="4"/>
      <x:c r="P202" s="4"/>
      <x:c r="Q202" s="4"/>
      <x:c r="R202" s="6"/>
      <x:c r="S202" s="4"/>
      <x:c r="T202" s="4"/>
      <x:c r="U202" s="6"/>
      <x:c r="V202" s="4"/>
      <x:c r="W202" s="4"/>
      <x:c r="X202" s="4"/>
      <x:c r="Y202" s="4"/>
      <x:c r="Z202" s="4"/>
    </x:row>
    <x:row r="203" customFormat="false" ht="20" hidden="false" customHeight="true" outlineLevel="0" collapsed="false">
      <x:c r="A203" s="4"/>
      <x:c r="B203" s="5"/>
      <x:c r="C203" s="4"/>
      <x:c r="D203" s="4"/>
      <x:c r="E203" s="4"/>
      <x:c r="F203" s="4"/>
      <x:c r="G203" s="4"/>
      <x:c r="H203" s="4"/>
      <x:c r="I203" s="4"/>
      <x:c r="J203" s="4"/>
      <x:c r="K203" s="4"/>
      <x:c r="L203" s="4"/>
      <x:c r="M203" s="4"/>
      <x:c r="N203" s="4"/>
      <x:c r="O203" s="4"/>
      <x:c r="P203" s="4"/>
      <x:c r="Q203" s="4"/>
      <x:c r="R203" s="6"/>
      <x:c r="S203" s="4"/>
      <x:c r="T203" s="4"/>
      <x:c r="U203" s="6"/>
      <x:c r="V203" s="4"/>
      <x:c r="W203" s="4"/>
      <x:c r="X203" s="4"/>
      <x:c r="Y203" s="4"/>
      <x:c r="Z203" s="4"/>
    </x:row>
    <x:row r="204" customFormat="false" ht="20" hidden="false" customHeight="true" outlineLevel="0" collapsed="false">
      <x:c r="A204" s="4"/>
      <x:c r="B204" s="5"/>
      <x:c r="C204" s="4"/>
      <x:c r="D204" s="4"/>
      <x:c r="E204" s="4"/>
      <x:c r="F204" s="4"/>
      <x:c r="G204" s="4"/>
      <x:c r="H204" s="4"/>
      <x:c r="I204" s="4"/>
      <x:c r="J204" s="4"/>
      <x:c r="K204" s="4"/>
      <x:c r="L204" s="4"/>
      <x:c r="M204" s="4"/>
      <x:c r="N204" s="4"/>
      <x:c r="O204" s="4"/>
      <x:c r="P204" s="4"/>
      <x:c r="Q204" s="4"/>
      <x:c r="R204" s="6"/>
      <x:c r="S204" s="4"/>
      <x:c r="T204" s="4"/>
      <x:c r="U204" s="6"/>
      <x:c r="V204" s="4"/>
      <x:c r="W204" s="4"/>
      <x:c r="X204" s="4"/>
      <x:c r="Y204" s="4"/>
      <x:c r="Z204" s="4"/>
    </x:row>
    <x:row r="205" customFormat="false" ht="20" hidden="false" customHeight="true" outlineLevel="0" collapsed="false">
      <x:c r="A205" s="4"/>
      <x:c r="B205" s="5"/>
      <x:c r="C205" s="4"/>
      <x:c r="D205" s="4"/>
      <x:c r="E205" s="4"/>
      <x:c r="F205" s="4"/>
      <x:c r="G205" s="4"/>
      <x:c r="H205" s="4"/>
      <x:c r="I205" s="4"/>
      <x:c r="J205" s="4"/>
      <x:c r="K205" s="4"/>
      <x:c r="L205" s="4"/>
      <x:c r="M205" s="4"/>
      <x:c r="N205" s="4"/>
      <x:c r="O205" s="4"/>
      <x:c r="P205" s="4"/>
      <x:c r="Q205" s="4"/>
      <x:c r="R205" s="6"/>
      <x:c r="S205" s="4"/>
      <x:c r="T205" s="4"/>
      <x:c r="U205" s="6"/>
      <x:c r="V205" s="4"/>
      <x:c r="W205" s="4"/>
      <x:c r="X205" s="4"/>
      <x:c r="Y205" s="4"/>
      <x:c r="Z205" s="4"/>
    </x:row>
    <x:row r="206" customFormat="false" ht="20" hidden="false" customHeight="true" outlineLevel="0" collapsed="false">
      <x:c r="A206" s="4"/>
      <x:c r="B206" s="5"/>
      <x:c r="C206" s="4"/>
      <x:c r="D206" s="4"/>
      <x:c r="E206" s="4"/>
      <x:c r="F206" s="4"/>
      <x:c r="G206" s="4"/>
      <x:c r="H206" s="4"/>
      <x:c r="I206" s="4"/>
      <x:c r="J206" s="4"/>
      <x:c r="K206" s="4"/>
      <x:c r="L206" s="4"/>
      <x:c r="M206" s="4"/>
      <x:c r="N206" s="4"/>
      <x:c r="O206" s="4"/>
      <x:c r="P206" s="4"/>
      <x:c r="Q206" s="4"/>
      <x:c r="R206" s="6"/>
      <x:c r="S206" s="4"/>
      <x:c r="T206" s="4"/>
      <x:c r="U206" s="6"/>
      <x:c r="V206" s="4"/>
      <x:c r="W206" s="4"/>
      <x:c r="X206" s="4"/>
      <x:c r="Y206" s="4"/>
      <x:c r="Z206" s="4"/>
    </x:row>
    <x:row r="207" customFormat="false" ht="20" hidden="false" customHeight="true" outlineLevel="0" collapsed="false">
      <x:c r="A207" s="4"/>
      <x:c r="B207" s="5"/>
      <x:c r="C207" s="4"/>
      <x:c r="D207" s="4"/>
      <x:c r="E207" s="4"/>
      <x:c r="F207" s="4"/>
      <x:c r="G207" s="4"/>
      <x:c r="H207" s="4"/>
      <x:c r="I207" s="4"/>
      <x:c r="J207" s="4"/>
      <x:c r="K207" s="4"/>
      <x:c r="L207" s="4"/>
      <x:c r="M207" s="4"/>
      <x:c r="N207" s="4"/>
      <x:c r="O207" s="4"/>
      <x:c r="P207" s="4"/>
      <x:c r="Q207" s="4"/>
      <x:c r="R207" s="6"/>
      <x:c r="S207" s="4"/>
      <x:c r="T207" s="4"/>
      <x:c r="U207" s="6"/>
      <x:c r="V207" s="4"/>
      <x:c r="W207" s="4"/>
      <x:c r="X207" s="4"/>
      <x:c r="Y207" s="4"/>
      <x:c r="Z207" s="4"/>
    </x:row>
    <x:row r="208" customFormat="false" ht="20" hidden="false" customHeight="true" outlineLevel="0" collapsed="false">
      <x:c r="A208" s="4"/>
      <x:c r="B208" s="5"/>
      <x:c r="C208" s="4"/>
      <x:c r="D208" s="4"/>
      <x:c r="E208" s="4"/>
      <x:c r="F208" s="4"/>
      <x:c r="G208" s="4"/>
      <x:c r="H208" s="4"/>
      <x:c r="I208" s="4"/>
      <x:c r="J208" s="4"/>
      <x:c r="K208" s="4"/>
      <x:c r="L208" s="4"/>
      <x:c r="M208" s="4"/>
      <x:c r="N208" s="4"/>
      <x:c r="O208" s="4"/>
      <x:c r="P208" s="4"/>
      <x:c r="Q208" s="4"/>
      <x:c r="R208" s="6"/>
      <x:c r="S208" s="4"/>
      <x:c r="T208" s="4"/>
      <x:c r="U208" s="6"/>
      <x:c r="V208" s="4"/>
      <x:c r="W208" s="4"/>
      <x:c r="X208" s="4"/>
      <x:c r="Y208" s="4"/>
      <x:c r="Z208" s="4"/>
    </x:row>
    <x:row r="209" customFormat="false" ht="20" hidden="false" customHeight="true" outlineLevel="0" collapsed="false">
      <x:c r="A209" s="4"/>
      <x:c r="B209" s="5"/>
      <x:c r="C209" s="4"/>
      <x:c r="D209" s="4"/>
      <x:c r="E209" s="4"/>
      <x:c r="F209" s="4"/>
      <x:c r="G209" s="4"/>
      <x:c r="H209" s="4"/>
      <x:c r="I209" s="4"/>
      <x:c r="J209" s="4"/>
      <x:c r="K209" s="4"/>
      <x:c r="L209" s="4"/>
      <x:c r="M209" s="4"/>
      <x:c r="N209" s="4"/>
      <x:c r="O209" s="4"/>
      <x:c r="P209" s="4"/>
      <x:c r="Q209" s="4"/>
      <x:c r="R209" s="6"/>
      <x:c r="S209" s="4"/>
      <x:c r="T209" s="4"/>
      <x:c r="U209" s="6"/>
      <x:c r="V209" s="4"/>
      <x:c r="W209" s="4"/>
      <x:c r="X209" s="4"/>
      <x:c r="Y209" s="4"/>
      <x:c r="Z209" s="4"/>
    </x:row>
    <x:row r="210" customFormat="false" ht="20" hidden="false" customHeight="true" outlineLevel="0" collapsed="false">
      <x:c r="A210" s="4"/>
      <x:c r="B210" s="5"/>
      <x:c r="C210" s="4"/>
      <x:c r="D210" s="4"/>
      <x:c r="E210" s="4"/>
      <x:c r="F210" s="4"/>
      <x:c r="G210" s="4"/>
      <x:c r="H210" s="4"/>
      <x:c r="I210" s="4"/>
      <x:c r="J210" s="4"/>
      <x:c r="K210" s="4"/>
      <x:c r="L210" s="4"/>
      <x:c r="M210" s="4"/>
      <x:c r="N210" s="4"/>
      <x:c r="O210" s="4"/>
      <x:c r="P210" s="4"/>
      <x:c r="Q210" s="4"/>
      <x:c r="R210" s="6"/>
      <x:c r="S210" s="4"/>
      <x:c r="T210" s="4"/>
      <x:c r="U210" s="6"/>
      <x:c r="V210" s="4"/>
      <x:c r="W210" s="4"/>
      <x:c r="X210" s="4"/>
      <x:c r="Y210" s="4"/>
      <x:c r="Z210" s="4"/>
    </x:row>
    <x:row r="211" customFormat="false" ht="20" hidden="false" customHeight="true" outlineLevel="0" collapsed="false">
      <x:c r="A211" s="4"/>
      <x:c r="B211" s="5"/>
      <x:c r="C211" s="4"/>
      <x:c r="D211" s="4"/>
      <x:c r="E211" s="4"/>
      <x:c r="F211" s="4"/>
      <x:c r="G211" s="4"/>
      <x:c r="H211" s="4"/>
      <x:c r="I211" s="4"/>
      <x:c r="J211" s="4"/>
      <x:c r="K211" s="4"/>
      <x:c r="L211" s="4"/>
      <x:c r="M211" s="4"/>
      <x:c r="N211" s="4"/>
      <x:c r="O211" s="4"/>
      <x:c r="P211" s="4"/>
      <x:c r="Q211" s="4"/>
      <x:c r="R211" s="6"/>
      <x:c r="S211" s="4"/>
      <x:c r="T211" s="4"/>
      <x:c r="U211" s="6"/>
      <x:c r="V211" s="4"/>
      <x:c r="W211" s="4"/>
      <x:c r="X211" s="4"/>
      <x:c r="Y211" s="4"/>
      <x:c r="Z211" s="4"/>
    </x:row>
    <x:row r="212" customFormat="false" ht="20" hidden="false" customHeight="true" outlineLevel="0" collapsed="false">
      <x:c r="A212" s="4"/>
      <x:c r="B212" s="5"/>
      <x:c r="C212" s="4"/>
      <x:c r="D212" s="4"/>
      <x:c r="E212" s="4"/>
      <x:c r="F212" s="4"/>
      <x:c r="G212" s="4"/>
      <x:c r="H212" s="4"/>
      <x:c r="I212" s="4"/>
      <x:c r="J212" s="4"/>
      <x:c r="K212" s="4"/>
      <x:c r="L212" s="4"/>
      <x:c r="M212" s="4"/>
      <x:c r="N212" s="4"/>
      <x:c r="O212" s="4"/>
      <x:c r="P212" s="4"/>
      <x:c r="Q212" s="4"/>
      <x:c r="R212" s="6"/>
      <x:c r="S212" s="4"/>
      <x:c r="T212" s="4"/>
      <x:c r="U212" s="6"/>
      <x:c r="V212" s="4"/>
      <x:c r="W212" s="4"/>
      <x:c r="X212" s="4"/>
      <x:c r="Y212" s="4"/>
      <x:c r="Z212" s="4"/>
    </x:row>
    <x:row r="213" customFormat="false" ht="20" hidden="false" customHeight="true" outlineLevel="0" collapsed="false">
      <x:c r="A213" s="4"/>
      <x:c r="B213" s="5"/>
      <x:c r="C213" s="4"/>
      <x:c r="D213" s="4"/>
      <x:c r="E213" s="4"/>
      <x:c r="F213" s="4"/>
      <x:c r="G213" s="4"/>
      <x:c r="H213" s="4"/>
      <x:c r="I213" s="4"/>
      <x:c r="J213" s="4"/>
      <x:c r="K213" s="4"/>
      <x:c r="L213" s="4"/>
      <x:c r="M213" s="4"/>
      <x:c r="N213" s="4"/>
      <x:c r="O213" s="4"/>
      <x:c r="P213" s="4"/>
      <x:c r="Q213" s="4"/>
      <x:c r="R213" s="6"/>
      <x:c r="S213" s="4"/>
      <x:c r="T213" s="4"/>
      <x:c r="U213" s="6"/>
      <x:c r="V213" s="4"/>
      <x:c r="W213" s="4"/>
      <x:c r="X213" s="4"/>
      <x:c r="Y213" s="4"/>
      <x:c r="Z213" s="4"/>
    </x:row>
    <x:row r="214" customFormat="false" ht="20" hidden="false" customHeight="true" outlineLevel="0" collapsed="false">
      <x:c r="A214" s="4"/>
      <x:c r="B214" s="5"/>
      <x:c r="C214" s="4"/>
      <x:c r="D214" s="4"/>
      <x:c r="E214" s="4"/>
      <x:c r="F214" s="4"/>
      <x:c r="G214" s="4"/>
      <x:c r="H214" s="4"/>
      <x:c r="I214" s="4"/>
      <x:c r="J214" s="4"/>
      <x:c r="K214" s="4"/>
      <x:c r="L214" s="4"/>
      <x:c r="M214" s="4"/>
      <x:c r="N214" s="4"/>
      <x:c r="O214" s="4"/>
      <x:c r="P214" s="4"/>
      <x:c r="Q214" s="4"/>
      <x:c r="R214" s="6"/>
      <x:c r="S214" s="4"/>
      <x:c r="T214" s="4"/>
      <x:c r="U214" s="6"/>
      <x:c r="V214" s="4"/>
      <x:c r="W214" s="4"/>
      <x:c r="X214" s="4"/>
      <x:c r="Y214" s="4"/>
      <x:c r="Z214" s="4"/>
    </x:row>
    <x:row r="215" customFormat="false" ht="20" hidden="false" customHeight="true" outlineLevel="0" collapsed="false">
      <x:c r="A215" s="4"/>
      <x:c r="B215" s="5"/>
      <x:c r="C215" s="4"/>
      <x:c r="D215" s="4"/>
      <x:c r="E215" s="4"/>
      <x:c r="F215" s="4"/>
      <x:c r="G215" s="4"/>
      <x:c r="H215" s="4"/>
      <x:c r="I215" s="4"/>
      <x:c r="J215" s="4"/>
      <x:c r="K215" s="4"/>
      <x:c r="L215" s="4"/>
      <x:c r="M215" s="4"/>
      <x:c r="N215" s="4"/>
      <x:c r="O215" s="4"/>
      <x:c r="P215" s="4"/>
      <x:c r="Q215" s="4"/>
      <x:c r="R215" s="6"/>
      <x:c r="S215" s="4"/>
      <x:c r="T215" s="4"/>
      <x:c r="U215" s="6"/>
      <x:c r="V215" s="4"/>
      <x:c r="W215" s="4"/>
      <x:c r="X215" s="4"/>
      <x:c r="Y215" s="4"/>
      <x:c r="Z215" s="4"/>
    </x:row>
    <x:row r="216" customFormat="false" ht="20" hidden="false" customHeight="true" outlineLevel="0" collapsed="false">
      <x:c r="A216" s="4"/>
      <x:c r="B216" s="5"/>
      <x:c r="C216" s="4"/>
      <x:c r="D216" s="4"/>
      <x:c r="E216" s="4"/>
      <x:c r="F216" s="4"/>
      <x:c r="G216" s="4"/>
      <x:c r="H216" s="4"/>
      <x:c r="I216" s="4"/>
      <x:c r="J216" s="4"/>
      <x:c r="K216" s="4"/>
      <x:c r="L216" s="4"/>
      <x:c r="M216" s="4"/>
      <x:c r="N216" s="4"/>
      <x:c r="O216" s="4"/>
      <x:c r="P216" s="4"/>
      <x:c r="Q216" s="4"/>
      <x:c r="R216" s="6"/>
      <x:c r="S216" s="4"/>
      <x:c r="T216" s="4"/>
      <x:c r="U216" s="6"/>
      <x:c r="V216" s="4"/>
      <x:c r="W216" s="4"/>
      <x:c r="X216" s="4"/>
      <x:c r="Y216" s="4"/>
      <x:c r="Z216" s="4"/>
    </x:row>
    <x:row r="217" customFormat="false" ht="20" hidden="false" customHeight="true" outlineLevel="0" collapsed="false">
      <x:c r="A217" s="4"/>
      <x:c r="B217" s="5"/>
      <x:c r="C217" s="4"/>
      <x:c r="D217" s="4"/>
      <x:c r="E217" s="4"/>
      <x:c r="F217" s="4"/>
      <x:c r="G217" s="4"/>
      <x:c r="H217" s="4"/>
      <x:c r="I217" s="4"/>
      <x:c r="J217" s="4"/>
      <x:c r="K217" s="4"/>
      <x:c r="L217" s="4"/>
      <x:c r="M217" s="4"/>
      <x:c r="N217" s="4"/>
      <x:c r="O217" s="4"/>
      <x:c r="P217" s="4"/>
      <x:c r="Q217" s="4"/>
      <x:c r="R217" s="6"/>
      <x:c r="S217" s="4"/>
      <x:c r="T217" s="4"/>
      <x:c r="U217" s="6"/>
      <x:c r="V217" s="4"/>
      <x:c r="W217" s="4"/>
      <x:c r="X217" s="4"/>
      <x:c r="Y217" s="4"/>
      <x:c r="Z217" s="4"/>
    </x:row>
    <x:row r="218" customFormat="false" ht="20" hidden="false" customHeight="true" outlineLevel="0" collapsed="false">
      <x:c r="A218" s="4"/>
      <x:c r="B218" s="5"/>
      <x:c r="C218" s="4"/>
      <x:c r="D218" s="4"/>
      <x:c r="E218" s="4"/>
      <x:c r="F218" s="4"/>
      <x:c r="G218" s="4"/>
      <x:c r="H218" s="4"/>
      <x:c r="I218" s="4"/>
      <x:c r="J218" s="4"/>
      <x:c r="K218" s="4"/>
      <x:c r="L218" s="4"/>
      <x:c r="M218" s="4"/>
      <x:c r="N218" s="4"/>
      <x:c r="O218" s="4"/>
      <x:c r="P218" s="4"/>
      <x:c r="Q218" s="4"/>
      <x:c r="R218" s="6"/>
      <x:c r="S218" s="4"/>
      <x:c r="T218" s="4"/>
      <x:c r="U218" s="6"/>
      <x:c r="V218" s="4"/>
      <x:c r="W218" s="4"/>
      <x:c r="X218" s="4"/>
      <x:c r="Y218" s="4"/>
      <x:c r="Z218" s="4"/>
    </x:row>
    <x:row r="219" customFormat="false" ht="20" hidden="false" customHeight="true" outlineLevel="0" collapsed="false">
      <x:c r="A219" s="4"/>
      <x:c r="B219" s="5"/>
      <x:c r="C219" s="4"/>
      <x:c r="D219" s="4"/>
      <x:c r="E219" s="4"/>
      <x:c r="F219" s="4"/>
      <x:c r="G219" s="4"/>
      <x:c r="H219" s="4"/>
      <x:c r="I219" s="4"/>
      <x:c r="J219" s="4"/>
      <x:c r="K219" s="4"/>
      <x:c r="L219" s="4"/>
      <x:c r="M219" s="4"/>
      <x:c r="N219" s="4"/>
      <x:c r="O219" s="4"/>
      <x:c r="P219" s="4"/>
      <x:c r="Q219" s="4"/>
      <x:c r="R219" s="6"/>
      <x:c r="S219" s="4"/>
      <x:c r="T219" s="4"/>
      <x:c r="U219" s="6"/>
      <x:c r="V219" s="4"/>
      <x:c r="W219" s="4"/>
      <x:c r="X219" s="4"/>
      <x:c r="Y219" s="4"/>
      <x:c r="Z219" s="4"/>
    </x:row>
    <x:row r="220" customFormat="false" ht="20" hidden="false" customHeight="true" outlineLevel="0" collapsed="false">
      <x:c r="A220" s="4"/>
      <x:c r="B220" s="5"/>
      <x:c r="C220" s="4"/>
      <x:c r="D220" s="4"/>
      <x:c r="E220" s="4"/>
      <x:c r="F220" s="4"/>
      <x:c r="G220" s="4"/>
      <x:c r="H220" s="4"/>
      <x:c r="I220" s="4"/>
      <x:c r="J220" s="4"/>
      <x:c r="K220" s="4"/>
      <x:c r="L220" s="4"/>
      <x:c r="M220" s="4"/>
      <x:c r="N220" s="4"/>
      <x:c r="O220" s="4"/>
      <x:c r="P220" s="4"/>
      <x:c r="Q220" s="4"/>
      <x:c r="R220" s="6"/>
      <x:c r="S220" s="4"/>
      <x:c r="T220" s="4"/>
      <x:c r="U220" s="6"/>
      <x:c r="V220" s="4"/>
      <x:c r="W220" s="4"/>
      <x:c r="X220" s="4"/>
      <x:c r="Y220" s="4"/>
      <x:c r="Z220" s="4"/>
    </x:row>
    <x:row r="221" customFormat="false" ht="20" hidden="false" customHeight="true" outlineLevel="0" collapsed="false">
      <x:c r="A221" s="4"/>
      <x:c r="B221" s="5"/>
      <x:c r="C221" s="4"/>
      <x:c r="D221" s="4"/>
      <x:c r="E221" s="4"/>
      <x:c r="F221" s="4"/>
      <x:c r="G221" s="4"/>
      <x:c r="H221" s="4"/>
      <x:c r="I221" s="4"/>
      <x:c r="J221" s="4"/>
      <x:c r="K221" s="4"/>
      <x:c r="L221" s="4"/>
      <x:c r="M221" s="4"/>
      <x:c r="N221" s="4"/>
      <x:c r="O221" s="4"/>
      <x:c r="P221" s="4"/>
      <x:c r="Q221" s="4"/>
      <x:c r="R221" s="6"/>
      <x:c r="S221" s="4"/>
      <x:c r="T221" s="4"/>
      <x:c r="U221" s="6"/>
      <x:c r="V221" s="4"/>
      <x:c r="W221" s="4"/>
      <x:c r="X221" s="4"/>
      <x:c r="Y221" s="4"/>
      <x:c r="Z221" s="4"/>
    </x:row>
    <x:row r="222" customFormat="false" ht="20" hidden="false" customHeight="true" outlineLevel="0" collapsed="false">
      <x:c r="A222" s="4"/>
      <x:c r="B222" s="5"/>
      <x:c r="C222" s="4"/>
      <x:c r="D222" s="4"/>
      <x:c r="E222" s="4"/>
      <x:c r="F222" s="4"/>
      <x:c r="G222" s="4"/>
      <x:c r="H222" s="4"/>
      <x:c r="I222" s="4"/>
      <x:c r="J222" s="4"/>
      <x:c r="K222" s="4"/>
      <x:c r="L222" s="4"/>
      <x:c r="M222" s="4"/>
      <x:c r="N222" s="4"/>
      <x:c r="O222" s="4"/>
      <x:c r="P222" s="4"/>
      <x:c r="Q222" s="4"/>
      <x:c r="R222" s="6"/>
      <x:c r="S222" s="4"/>
      <x:c r="T222" s="4"/>
      <x:c r="U222" s="6"/>
      <x:c r="V222" s="4"/>
      <x:c r="W222" s="4"/>
      <x:c r="X222" s="4"/>
      <x:c r="Y222" s="4"/>
      <x:c r="Z222" s="4"/>
    </x:row>
    <x:row r="223" customFormat="false" ht="20" hidden="false" customHeight="true" outlineLevel="0" collapsed="false">
      <x:c r="A223" s="4"/>
      <x:c r="B223" s="5"/>
      <x:c r="C223" s="4"/>
      <x:c r="D223" s="4"/>
      <x:c r="E223" s="4"/>
      <x:c r="F223" s="4"/>
      <x:c r="G223" s="4"/>
      <x:c r="H223" s="4"/>
      <x:c r="I223" s="4"/>
      <x:c r="J223" s="4"/>
      <x:c r="K223" s="4"/>
      <x:c r="L223" s="4"/>
      <x:c r="M223" s="4"/>
      <x:c r="N223" s="4"/>
      <x:c r="O223" s="4"/>
      <x:c r="P223" s="4"/>
      <x:c r="Q223" s="4"/>
      <x:c r="R223" s="6"/>
      <x:c r="S223" s="4"/>
      <x:c r="T223" s="4"/>
      <x:c r="U223" s="6"/>
      <x:c r="V223" s="4"/>
      <x:c r="W223" s="4"/>
      <x:c r="X223" s="4"/>
      <x:c r="Y223" s="4"/>
      <x:c r="Z223" s="4"/>
    </x:row>
    <x:row r="224" customFormat="false" ht="20" hidden="false" customHeight="true" outlineLevel="0" collapsed="false">
      <x:c r="A224" s="4"/>
      <x:c r="B224" s="5"/>
      <x:c r="C224" s="4"/>
      <x:c r="D224" s="4"/>
      <x:c r="E224" s="4"/>
      <x:c r="F224" s="4"/>
      <x:c r="G224" s="4"/>
      <x:c r="H224" s="4"/>
      <x:c r="I224" s="4"/>
      <x:c r="J224" s="4"/>
      <x:c r="K224" s="4"/>
      <x:c r="L224" s="4"/>
      <x:c r="M224" s="4"/>
      <x:c r="N224" s="4"/>
      <x:c r="O224" s="4"/>
      <x:c r="P224" s="4"/>
      <x:c r="Q224" s="4"/>
      <x:c r="R224" s="6"/>
      <x:c r="S224" s="4"/>
      <x:c r="T224" s="4"/>
      <x:c r="U224" s="6"/>
      <x:c r="V224" s="4"/>
      <x:c r="W224" s="4"/>
      <x:c r="X224" s="4"/>
      <x:c r="Y224" s="4"/>
      <x:c r="Z224" s="4"/>
    </x:row>
    <x:row r="225" customFormat="false" ht="20" hidden="false" customHeight="true" outlineLevel="0" collapsed="false">
      <x:c r="A225" s="4"/>
      <x:c r="B225" s="5"/>
      <x:c r="C225" s="4"/>
      <x:c r="D225" s="4"/>
      <x:c r="E225" s="4"/>
      <x:c r="F225" s="4"/>
      <x:c r="G225" s="4"/>
      <x:c r="H225" s="4"/>
      <x:c r="I225" s="4"/>
      <x:c r="J225" s="4"/>
      <x:c r="K225" s="4"/>
      <x:c r="L225" s="4"/>
      <x:c r="M225" s="4"/>
      <x:c r="N225" s="4"/>
      <x:c r="O225" s="4"/>
      <x:c r="P225" s="4"/>
      <x:c r="Q225" s="4"/>
      <x:c r="R225" s="6"/>
      <x:c r="S225" s="4"/>
      <x:c r="T225" s="4"/>
      <x:c r="U225" s="6"/>
      <x:c r="V225" s="4"/>
      <x:c r="W225" s="4"/>
      <x:c r="X225" s="4"/>
      <x:c r="Y225" s="4"/>
      <x:c r="Z225" s="4"/>
    </x:row>
    <x:row r="226" customFormat="false" ht="20" hidden="false" customHeight="true" outlineLevel="0" collapsed="false">
      <x:c r="A226" s="4"/>
      <x:c r="B226" s="5"/>
      <x:c r="C226" s="4"/>
      <x:c r="D226" s="4"/>
      <x:c r="E226" s="4"/>
      <x:c r="F226" s="4"/>
      <x:c r="G226" s="4"/>
      <x:c r="H226" s="4"/>
      <x:c r="I226" s="4"/>
      <x:c r="J226" s="4"/>
      <x:c r="K226" s="4"/>
      <x:c r="L226" s="4"/>
      <x:c r="M226" s="4"/>
      <x:c r="N226" s="4"/>
      <x:c r="O226" s="4"/>
      <x:c r="P226" s="4"/>
      <x:c r="Q226" s="4"/>
      <x:c r="R226" s="6"/>
      <x:c r="S226" s="4"/>
      <x:c r="T226" s="4"/>
      <x:c r="U226" s="6"/>
      <x:c r="V226" s="4"/>
      <x:c r="W226" s="4"/>
      <x:c r="X226" s="4"/>
      <x:c r="Y226" s="4"/>
      <x:c r="Z226" s="4"/>
    </x:row>
    <x:row r="227" customFormat="false" ht="20" hidden="false" customHeight="true" outlineLevel="0" collapsed="false">
      <x:c r="A227" s="4"/>
      <x:c r="B227" s="5"/>
      <x:c r="C227" s="4"/>
      <x:c r="D227" s="4"/>
      <x:c r="E227" s="4"/>
      <x:c r="F227" s="4"/>
      <x:c r="G227" s="4"/>
      <x:c r="H227" s="4"/>
      <x:c r="I227" s="4"/>
      <x:c r="J227" s="4"/>
      <x:c r="K227" s="4"/>
      <x:c r="L227" s="4"/>
      <x:c r="M227" s="4"/>
      <x:c r="N227" s="4"/>
      <x:c r="O227" s="4"/>
      <x:c r="P227" s="4"/>
      <x:c r="Q227" s="4"/>
      <x:c r="R227" s="6"/>
      <x:c r="S227" s="4"/>
      <x:c r="T227" s="4"/>
      <x:c r="U227" s="6"/>
      <x:c r="V227" s="4"/>
      <x:c r="W227" s="4"/>
      <x:c r="X227" s="4"/>
      <x:c r="Y227" s="4"/>
      <x:c r="Z227" s="4"/>
    </x:row>
    <x:row r="228" customFormat="false" ht="20" hidden="false" customHeight="true" outlineLevel="0" collapsed="false">
      <x:c r="A228" s="4"/>
      <x:c r="B228" s="5"/>
      <x:c r="C228" s="4"/>
      <x:c r="D228" s="4"/>
      <x:c r="E228" s="4"/>
      <x:c r="F228" s="4"/>
      <x:c r="G228" s="4"/>
      <x:c r="H228" s="4"/>
      <x:c r="I228" s="4"/>
      <x:c r="J228" s="4"/>
      <x:c r="K228" s="4"/>
      <x:c r="L228" s="4"/>
      <x:c r="M228" s="4"/>
      <x:c r="N228" s="4"/>
      <x:c r="O228" s="4"/>
      <x:c r="P228" s="4"/>
      <x:c r="Q228" s="4"/>
      <x:c r="R228" s="6"/>
      <x:c r="S228" s="4"/>
      <x:c r="T228" s="4"/>
      <x:c r="U228" s="6"/>
      <x:c r="V228" s="4"/>
      <x:c r="W228" s="4"/>
      <x:c r="X228" s="4"/>
      <x:c r="Y228" s="4"/>
      <x:c r="Z228" s="4"/>
    </x:row>
    <x:row r="229" customFormat="false" ht="20" hidden="false" customHeight="true" outlineLevel="0" collapsed="false">
      <x:c r="A229" s="4"/>
      <x:c r="B229" s="5"/>
      <x:c r="C229" s="4"/>
      <x:c r="D229" s="4"/>
      <x:c r="E229" s="4"/>
      <x:c r="F229" s="4"/>
      <x:c r="G229" s="4"/>
      <x:c r="H229" s="4"/>
      <x:c r="I229" s="4"/>
      <x:c r="J229" s="4"/>
      <x:c r="K229" s="4"/>
      <x:c r="L229" s="4"/>
      <x:c r="M229" s="4"/>
      <x:c r="N229" s="4"/>
      <x:c r="O229" s="4"/>
      <x:c r="P229" s="4"/>
      <x:c r="Q229" s="4"/>
      <x:c r="R229" s="6"/>
      <x:c r="S229" s="4"/>
      <x:c r="T229" s="4"/>
      <x:c r="U229" s="6"/>
      <x:c r="V229" s="4"/>
      <x:c r="W229" s="4"/>
      <x:c r="X229" s="4"/>
      <x:c r="Y229" s="4"/>
      <x:c r="Z229" s="4"/>
    </x:row>
    <x:row r="230" customFormat="false" ht="20" hidden="false" customHeight="true" outlineLevel="0" collapsed="false">
      <x:c r="A230" s="4"/>
      <x:c r="B230" s="5"/>
      <x:c r="C230" s="4"/>
      <x:c r="D230" s="4"/>
      <x:c r="E230" s="4"/>
      <x:c r="F230" s="4"/>
      <x:c r="G230" s="4"/>
      <x:c r="H230" s="4"/>
      <x:c r="I230" s="4"/>
      <x:c r="J230" s="4"/>
      <x:c r="K230" s="4"/>
      <x:c r="L230" s="4"/>
      <x:c r="M230" s="4"/>
      <x:c r="N230" s="4"/>
      <x:c r="O230" s="4"/>
      <x:c r="P230" s="4"/>
      <x:c r="Q230" s="4"/>
      <x:c r="R230" s="6"/>
      <x:c r="S230" s="4"/>
      <x:c r="T230" s="4"/>
      <x:c r="U230" s="6"/>
      <x:c r="V230" s="4"/>
      <x:c r="W230" s="4"/>
      <x:c r="X230" s="4"/>
      <x:c r="Y230" s="4"/>
      <x:c r="Z230" s="4"/>
    </x:row>
    <x:row r="231" customFormat="false" ht="20" hidden="false" customHeight="true" outlineLevel="0" collapsed="false">
      <x:c r="A231" s="4"/>
      <x:c r="B231" s="5"/>
      <x:c r="C231" s="4"/>
      <x:c r="D231" s="4"/>
      <x:c r="E231" s="4"/>
      <x:c r="F231" s="4"/>
      <x:c r="G231" s="4"/>
      <x:c r="H231" s="4"/>
      <x:c r="I231" s="4"/>
      <x:c r="J231" s="4"/>
      <x:c r="K231" s="4"/>
      <x:c r="L231" s="4"/>
      <x:c r="M231" s="4"/>
      <x:c r="N231" s="4"/>
      <x:c r="O231" s="4"/>
      <x:c r="P231" s="4"/>
      <x:c r="Q231" s="4"/>
      <x:c r="R231" s="6"/>
      <x:c r="S231" s="4"/>
      <x:c r="T231" s="4"/>
      <x:c r="U231" s="6"/>
      <x:c r="V231" s="4"/>
      <x:c r="W231" s="4"/>
      <x:c r="X231" s="4"/>
      <x:c r="Y231" s="4"/>
      <x:c r="Z231" s="4"/>
    </x:row>
    <x:row r="232" customFormat="false" ht="20" hidden="false" customHeight="true" outlineLevel="0" collapsed="false">
      <x:c r="A232" s="4"/>
      <x:c r="B232" s="5"/>
      <x:c r="C232" s="4"/>
      <x:c r="D232" s="4"/>
      <x:c r="E232" s="4"/>
      <x:c r="F232" s="4"/>
      <x:c r="G232" s="4"/>
      <x:c r="H232" s="4"/>
      <x:c r="I232" s="4"/>
      <x:c r="J232" s="4"/>
      <x:c r="K232" s="4"/>
      <x:c r="L232" s="4"/>
      <x:c r="M232" s="4"/>
      <x:c r="N232" s="4"/>
      <x:c r="O232" s="4"/>
      <x:c r="P232" s="4"/>
      <x:c r="Q232" s="4"/>
      <x:c r="R232" s="6"/>
      <x:c r="S232" s="4"/>
      <x:c r="T232" s="4"/>
      <x:c r="U232" s="6"/>
      <x:c r="V232" s="4"/>
      <x:c r="W232" s="4"/>
      <x:c r="X232" s="4"/>
      <x:c r="Y232" s="4"/>
      <x:c r="Z232" s="4"/>
    </x:row>
    <x:row r="233" customFormat="false" ht="20" hidden="false" customHeight="true" outlineLevel="0" collapsed="false">
      <x:c r="A233" s="4"/>
      <x:c r="B233" s="5"/>
      <x:c r="C233" s="4"/>
      <x:c r="D233" s="4"/>
      <x:c r="E233" s="4"/>
      <x:c r="F233" s="4"/>
      <x:c r="G233" s="4"/>
      <x:c r="H233" s="4"/>
      <x:c r="I233" s="4"/>
      <x:c r="J233" s="4"/>
      <x:c r="K233" s="4"/>
      <x:c r="L233" s="4"/>
      <x:c r="M233" s="4"/>
      <x:c r="N233" s="4"/>
      <x:c r="O233" s="4"/>
      <x:c r="P233" s="4"/>
      <x:c r="Q233" s="4"/>
      <x:c r="R233" s="6"/>
      <x:c r="S233" s="4"/>
      <x:c r="T233" s="4"/>
      <x:c r="U233" s="6"/>
      <x:c r="V233" s="4"/>
      <x:c r="W233" s="4"/>
      <x:c r="X233" s="4"/>
      <x:c r="Y233" s="4"/>
      <x:c r="Z233" s="4"/>
    </x:row>
    <x:row r="234" customFormat="false" ht="20" hidden="false" customHeight="true" outlineLevel="0" collapsed="false">
      <x:c r="A234" s="4"/>
      <x:c r="B234" s="5"/>
      <x:c r="C234" s="4"/>
      <x:c r="D234" s="4"/>
      <x:c r="E234" s="4"/>
      <x:c r="F234" s="4"/>
      <x:c r="G234" s="4"/>
      <x:c r="H234" s="4"/>
      <x:c r="I234" s="4"/>
      <x:c r="J234" s="4"/>
      <x:c r="K234" s="4"/>
      <x:c r="L234" s="4"/>
      <x:c r="M234" s="4"/>
      <x:c r="N234" s="4"/>
      <x:c r="O234" s="4"/>
      <x:c r="P234" s="4"/>
      <x:c r="Q234" s="4"/>
      <x:c r="R234" s="6"/>
      <x:c r="S234" s="4"/>
      <x:c r="T234" s="4"/>
      <x:c r="U234" s="6"/>
      <x:c r="V234" s="4"/>
      <x:c r="W234" s="4"/>
      <x:c r="X234" s="4"/>
      <x:c r="Y234" s="4"/>
      <x:c r="Z234" s="4"/>
    </x:row>
    <x:row r="235" customFormat="false" ht="20" hidden="false" customHeight="true" outlineLevel="0" collapsed="false">
      <x:c r="A235" s="4"/>
      <x:c r="B235" s="5"/>
      <x:c r="C235" s="4"/>
      <x:c r="D235" s="4"/>
      <x:c r="E235" s="4"/>
      <x:c r="F235" s="4"/>
      <x:c r="G235" s="4"/>
      <x:c r="H235" s="4"/>
      <x:c r="I235" s="4"/>
      <x:c r="J235" s="4"/>
      <x:c r="K235" s="4"/>
      <x:c r="L235" s="4"/>
      <x:c r="M235" s="4"/>
      <x:c r="N235" s="4"/>
      <x:c r="O235" s="4"/>
      <x:c r="P235" s="4"/>
      <x:c r="Q235" s="4"/>
      <x:c r="R235" s="6"/>
      <x:c r="S235" s="4"/>
      <x:c r="T235" s="4"/>
      <x:c r="U235" s="6"/>
      <x:c r="V235" s="4"/>
      <x:c r="W235" s="4"/>
      <x:c r="X235" s="4"/>
      <x:c r="Y235" s="4"/>
      <x:c r="Z235" s="4"/>
    </x:row>
    <x:row r="236" customFormat="false" ht="20" hidden="false" customHeight="true" outlineLevel="0" collapsed="false">
      <x:c r="A236" s="4"/>
      <x:c r="B236" s="5"/>
      <x:c r="C236" s="4"/>
      <x:c r="D236" s="4"/>
      <x:c r="E236" s="4"/>
      <x:c r="F236" s="4"/>
      <x:c r="G236" s="4"/>
      <x:c r="H236" s="4"/>
      <x:c r="I236" s="4"/>
      <x:c r="J236" s="4"/>
      <x:c r="K236" s="4"/>
      <x:c r="L236" s="4"/>
      <x:c r="M236" s="4"/>
      <x:c r="N236" s="4"/>
      <x:c r="O236" s="4"/>
      <x:c r="P236" s="4"/>
      <x:c r="Q236" s="4"/>
      <x:c r="R236" s="6"/>
      <x:c r="S236" s="4"/>
      <x:c r="T236" s="4"/>
      <x:c r="U236" s="6"/>
      <x:c r="V236" s="4"/>
      <x:c r="W236" s="4"/>
      <x:c r="X236" s="4"/>
      <x:c r="Y236" s="4"/>
      <x:c r="Z236" s="4"/>
    </x:row>
    <x:row r="237" customFormat="false" ht="20" hidden="false" customHeight="true" outlineLevel="0" collapsed="false">
      <x:c r="A237" s="4"/>
      <x:c r="B237" s="5"/>
      <x:c r="C237" s="4"/>
      <x:c r="D237" s="4"/>
      <x:c r="E237" s="4"/>
      <x:c r="F237" s="4"/>
      <x:c r="G237" s="4"/>
      <x:c r="H237" s="4"/>
      <x:c r="I237" s="4"/>
      <x:c r="J237" s="4"/>
      <x:c r="K237" s="4"/>
      <x:c r="L237" s="4"/>
      <x:c r="M237" s="4"/>
      <x:c r="N237" s="4"/>
      <x:c r="O237" s="4"/>
      <x:c r="P237" s="4"/>
      <x:c r="Q237" s="4"/>
      <x:c r="R237" s="6"/>
      <x:c r="S237" s="4"/>
      <x:c r="T237" s="4"/>
      <x:c r="U237" s="6"/>
      <x:c r="V237" s="4"/>
      <x:c r="W237" s="4"/>
      <x:c r="X237" s="4"/>
      <x:c r="Y237" s="4"/>
      <x:c r="Z237" s="4"/>
    </x:row>
    <x:row r="238" customFormat="false" ht="20" hidden="false" customHeight="true" outlineLevel="0" collapsed="false">
      <x:c r="A238" s="4"/>
      <x:c r="B238" s="5"/>
      <x:c r="C238" s="4"/>
      <x:c r="D238" s="4"/>
      <x:c r="E238" s="4"/>
      <x:c r="F238" s="4"/>
      <x:c r="G238" s="4"/>
      <x:c r="H238" s="4"/>
      <x:c r="I238" s="4"/>
      <x:c r="J238" s="4"/>
      <x:c r="K238" s="4"/>
      <x:c r="L238" s="4"/>
      <x:c r="M238" s="4"/>
      <x:c r="N238" s="4"/>
      <x:c r="O238" s="4"/>
      <x:c r="P238" s="4"/>
      <x:c r="Q238" s="4"/>
      <x:c r="R238" s="6"/>
      <x:c r="S238" s="4"/>
      <x:c r="T238" s="4"/>
      <x:c r="U238" s="6"/>
      <x:c r="V238" s="4"/>
      <x:c r="W238" s="4"/>
      <x:c r="X238" s="4"/>
      <x:c r="Y238" s="4"/>
      <x:c r="Z238" s="4"/>
    </x:row>
    <x:row r="239" customFormat="false" ht="20" hidden="false" customHeight="true" outlineLevel="0" collapsed="false">
      <x:c r="A239" s="4"/>
      <x:c r="B239" s="5"/>
      <x:c r="C239" s="4"/>
      <x:c r="D239" s="4"/>
      <x:c r="E239" s="4"/>
      <x:c r="F239" s="4"/>
      <x:c r="G239" s="4"/>
      <x:c r="H239" s="4"/>
      <x:c r="I239" s="4"/>
      <x:c r="J239" s="4"/>
      <x:c r="K239" s="4"/>
      <x:c r="L239" s="4"/>
      <x:c r="M239" s="4"/>
      <x:c r="N239" s="4"/>
      <x:c r="O239" s="4"/>
      <x:c r="P239" s="4"/>
      <x:c r="Q239" s="4"/>
      <x:c r="R239" s="6"/>
      <x:c r="S239" s="4"/>
      <x:c r="T239" s="4"/>
      <x:c r="U239" s="6"/>
      <x:c r="V239" s="4"/>
      <x:c r="W239" s="4"/>
      <x:c r="X239" s="4"/>
      <x:c r="Y239" s="4"/>
      <x:c r="Z239" s="4"/>
    </x:row>
    <x:row r="240" customFormat="false" ht="20" hidden="false" customHeight="true" outlineLevel="0" collapsed="false">
      <x:c r="A240" s="4"/>
      <x:c r="B240" s="5"/>
      <x:c r="C240" s="4"/>
      <x:c r="D240" s="4"/>
      <x:c r="E240" s="4"/>
      <x:c r="F240" s="4"/>
      <x:c r="G240" s="4"/>
      <x:c r="H240" s="4"/>
      <x:c r="I240" s="4"/>
      <x:c r="J240" s="4"/>
      <x:c r="K240" s="4"/>
      <x:c r="L240" s="4"/>
      <x:c r="M240" s="4"/>
      <x:c r="N240" s="4"/>
      <x:c r="O240" s="4"/>
      <x:c r="P240" s="4"/>
      <x:c r="Q240" s="4"/>
      <x:c r="R240" s="6"/>
      <x:c r="S240" s="4"/>
      <x:c r="T240" s="4"/>
      <x:c r="U240" s="6"/>
      <x:c r="V240" s="4"/>
      <x:c r="W240" s="4"/>
      <x:c r="X240" s="4"/>
      <x:c r="Y240" s="4"/>
      <x:c r="Z240" s="4"/>
    </x:row>
    <x:row r="241" customFormat="false" ht="20" hidden="false" customHeight="true" outlineLevel="0" collapsed="false">
      <x:c r="A241" s="4"/>
      <x:c r="B241" s="5"/>
      <x:c r="C241" s="4"/>
      <x:c r="D241" s="4"/>
      <x:c r="E241" s="4"/>
      <x:c r="F241" s="4"/>
      <x:c r="G241" s="4"/>
      <x:c r="H241" s="4"/>
      <x:c r="I241" s="4"/>
      <x:c r="J241" s="4"/>
      <x:c r="K241" s="4"/>
      <x:c r="L241" s="4"/>
      <x:c r="M241" s="4"/>
      <x:c r="N241" s="4"/>
      <x:c r="O241" s="4"/>
      <x:c r="P241" s="4"/>
      <x:c r="Q241" s="4"/>
      <x:c r="R241" s="6"/>
      <x:c r="S241" s="4"/>
      <x:c r="T241" s="4"/>
      <x:c r="U241" s="6"/>
      <x:c r="V241" s="4"/>
      <x:c r="W241" s="4"/>
      <x:c r="X241" s="4"/>
      <x:c r="Y241" s="4"/>
      <x:c r="Z241" s="4"/>
    </x:row>
    <x:row r="242" customFormat="false" ht="20" hidden="false" customHeight="true" outlineLevel="0" collapsed="false">
      <x:c r="A242" s="4"/>
      <x:c r="B242" s="5"/>
      <x:c r="C242" s="4"/>
      <x:c r="D242" s="4"/>
      <x:c r="E242" s="4"/>
      <x:c r="F242" s="4"/>
      <x:c r="G242" s="4"/>
      <x:c r="H242" s="4"/>
      <x:c r="I242" s="4"/>
      <x:c r="J242" s="4"/>
      <x:c r="K242" s="4"/>
      <x:c r="L242" s="4"/>
      <x:c r="M242" s="4"/>
      <x:c r="N242" s="4"/>
      <x:c r="O242" s="4"/>
      <x:c r="P242" s="4"/>
      <x:c r="Q242" s="4"/>
      <x:c r="R242" s="6"/>
      <x:c r="S242" s="4"/>
      <x:c r="T242" s="4"/>
      <x:c r="U242" s="6"/>
      <x:c r="V242" s="4"/>
      <x:c r="W242" s="4"/>
      <x:c r="X242" s="4"/>
      <x:c r="Y242" s="4"/>
      <x:c r="Z242" s="4"/>
    </x:row>
    <x:row r="243" customFormat="false" ht="20" hidden="false" customHeight="true" outlineLevel="0" collapsed="false">
      <x:c r="A243" s="4"/>
      <x:c r="B243" s="5"/>
      <x:c r="C243" s="4"/>
      <x:c r="D243" s="4"/>
      <x:c r="E243" s="4"/>
      <x:c r="F243" s="4"/>
      <x:c r="G243" s="4"/>
      <x:c r="H243" s="4"/>
      <x:c r="I243" s="4"/>
      <x:c r="J243" s="4"/>
      <x:c r="K243" s="4"/>
      <x:c r="L243" s="4"/>
      <x:c r="M243" s="4"/>
      <x:c r="N243" s="4"/>
      <x:c r="O243" s="4"/>
      <x:c r="P243" s="4"/>
      <x:c r="Q243" s="4"/>
      <x:c r="R243" s="6"/>
      <x:c r="S243" s="4"/>
      <x:c r="T243" s="4"/>
      <x:c r="U243" s="6"/>
      <x:c r="V243" s="4"/>
      <x:c r="W243" s="4"/>
      <x:c r="X243" s="4"/>
      <x:c r="Y243" s="4"/>
      <x:c r="Z243" s="4"/>
    </x:row>
    <x:row r="244" customFormat="false" ht="20" hidden="false" customHeight="true" outlineLevel="0" collapsed="false">
      <x:c r="A244" s="4"/>
      <x:c r="B244" s="5"/>
      <x:c r="C244" s="4"/>
      <x:c r="D244" s="4"/>
      <x:c r="E244" s="4"/>
      <x:c r="F244" s="4"/>
      <x:c r="G244" s="4"/>
      <x:c r="H244" s="4"/>
      <x:c r="I244" s="4"/>
      <x:c r="J244" s="4"/>
      <x:c r="K244" s="4"/>
      <x:c r="L244" s="4"/>
      <x:c r="M244" s="4"/>
      <x:c r="N244" s="4"/>
      <x:c r="O244" s="4"/>
      <x:c r="P244" s="4"/>
      <x:c r="Q244" s="4"/>
      <x:c r="R244" s="6"/>
      <x:c r="S244" s="4"/>
      <x:c r="T244" s="4"/>
      <x:c r="U244" s="6"/>
      <x:c r="V244" s="4"/>
      <x:c r="W244" s="4"/>
      <x:c r="X244" s="4"/>
      <x:c r="Y244" s="4"/>
      <x:c r="Z244" s="4"/>
    </x:row>
    <x:row r="245" customFormat="false" ht="20" hidden="false" customHeight="true" outlineLevel="0" collapsed="false">
      <x:c r="A245" s="4"/>
      <x:c r="B245" s="5"/>
      <x:c r="C245" s="4"/>
      <x:c r="D245" s="4"/>
      <x:c r="E245" s="4"/>
      <x:c r="F245" s="4"/>
      <x:c r="G245" s="4"/>
      <x:c r="H245" s="4"/>
      <x:c r="I245" s="4"/>
      <x:c r="J245" s="4"/>
      <x:c r="K245" s="4"/>
      <x:c r="L245" s="4"/>
      <x:c r="M245" s="4"/>
      <x:c r="N245" s="4"/>
      <x:c r="O245" s="4"/>
      <x:c r="P245" s="4"/>
      <x:c r="Q245" s="4"/>
      <x:c r="R245" s="6"/>
      <x:c r="S245" s="4"/>
      <x:c r="T245" s="4"/>
      <x:c r="U245" s="6"/>
      <x:c r="V245" s="4"/>
      <x:c r="W245" s="4"/>
      <x:c r="X245" s="4"/>
      <x:c r="Y245" s="4"/>
      <x:c r="Z245" s="4"/>
    </x:row>
    <x:row r="246" customFormat="false" ht="20" hidden="false" customHeight="true" outlineLevel="0" collapsed="false">
      <x:c r="A246" s="4"/>
      <x:c r="B246" s="5"/>
      <x:c r="C246" s="4"/>
      <x:c r="D246" s="4"/>
      <x:c r="E246" s="4"/>
      <x:c r="F246" s="4"/>
      <x:c r="G246" s="4"/>
      <x:c r="H246" s="4"/>
      <x:c r="I246" s="4"/>
      <x:c r="J246" s="4"/>
      <x:c r="K246" s="4"/>
      <x:c r="L246" s="4"/>
      <x:c r="M246" s="4"/>
      <x:c r="N246" s="4"/>
      <x:c r="O246" s="4"/>
      <x:c r="P246" s="4"/>
      <x:c r="Q246" s="4"/>
      <x:c r="R246" s="6"/>
      <x:c r="S246" s="4"/>
      <x:c r="T246" s="4"/>
      <x:c r="U246" s="6"/>
      <x:c r="V246" s="4"/>
      <x:c r="W246" s="4"/>
      <x:c r="X246" s="4"/>
      <x:c r="Y246" s="4"/>
      <x:c r="Z246" s="4"/>
    </x:row>
    <x:row r="247" customFormat="false" ht="20" hidden="false" customHeight="true" outlineLevel="0" collapsed="false">
      <x:c r="A247" s="4"/>
      <x:c r="B247" s="5"/>
      <x:c r="C247" s="4"/>
      <x:c r="D247" s="4"/>
      <x:c r="E247" s="4"/>
      <x:c r="F247" s="4"/>
      <x:c r="G247" s="4"/>
      <x:c r="H247" s="4"/>
      <x:c r="I247" s="4"/>
      <x:c r="J247" s="4"/>
      <x:c r="K247" s="4"/>
      <x:c r="L247" s="4"/>
      <x:c r="M247" s="4"/>
      <x:c r="N247" s="4"/>
      <x:c r="O247" s="4"/>
      <x:c r="P247" s="4"/>
      <x:c r="Q247" s="4"/>
      <x:c r="R247" s="6"/>
      <x:c r="S247" s="4"/>
      <x:c r="T247" s="4"/>
      <x:c r="U247" s="6"/>
      <x:c r="V247" s="4"/>
      <x:c r="W247" s="4"/>
      <x:c r="X247" s="4"/>
      <x:c r="Y247" s="4"/>
      <x:c r="Z247" s="4"/>
    </x:row>
    <x:row r="248" customFormat="false" ht="20" hidden="false" customHeight="true" outlineLevel="0" collapsed="false">
      <x:c r="A248" s="4"/>
      <x:c r="B248" s="5"/>
      <x:c r="C248" s="4"/>
      <x:c r="D248" s="4"/>
      <x:c r="E248" s="4"/>
      <x:c r="F248" s="4"/>
      <x:c r="G248" s="4"/>
      <x:c r="H248" s="4"/>
      <x:c r="I248" s="4"/>
      <x:c r="J248" s="4"/>
      <x:c r="K248" s="4"/>
      <x:c r="L248" s="4"/>
      <x:c r="M248" s="4"/>
      <x:c r="N248" s="4"/>
      <x:c r="O248" s="4"/>
      <x:c r="P248" s="4"/>
      <x:c r="Q248" s="4"/>
      <x:c r="R248" s="6"/>
      <x:c r="S248" s="4"/>
      <x:c r="T248" s="4"/>
      <x:c r="U248" s="6"/>
      <x:c r="V248" s="4"/>
      <x:c r="W248" s="4"/>
      <x:c r="X248" s="4"/>
      <x:c r="Y248" s="4"/>
      <x:c r="Z248" s="4"/>
    </x:row>
    <x:row r="249" customFormat="false" ht="20" hidden="false" customHeight="true" outlineLevel="0" collapsed="false">
      <x:c r="A249" s="4"/>
      <x:c r="B249" s="5"/>
      <x:c r="C249" s="4"/>
      <x:c r="D249" s="4"/>
      <x:c r="E249" s="4"/>
      <x:c r="F249" s="4"/>
      <x:c r="G249" s="4"/>
      <x:c r="H249" s="4"/>
      <x:c r="I249" s="4"/>
      <x:c r="J249" s="4"/>
      <x:c r="K249" s="4"/>
      <x:c r="L249" s="4"/>
      <x:c r="M249" s="4"/>
      <x:c r="N249" s="4"/>
      <x:c r="O249" s="4"/>
      <x:c r="P249" s="4"/>
      <x:c r="Q249" s="4"/>
      <x:c r="R249" s="6"/>
      <x:c r="S249" s="4"/>
      <x:c r="T249" s="4"/>
      <x:c r="U249" s="6"/>
      <x:c r="V249" s="4"/>
      <x:c r="W249" s="4"/>
      <x:c r="X249" s="4"/>
      <x:c r="Y249" s="4"/>
      <x:c r="Z249" s="4"/>
    </x:row>
    <x:row r="250" customFormat="false" ht="20" hidden="false" customHeight="true" outlineLevel="0" collapsed="false">
      <x:c r="A250" s="4"/>
      <x:c r="B250" s="5"/>
      <x:c r="C250" s="4"/>
      <x:c r="D250" s="4"/>
      <x:c r="E250" s="4"/>
      <x:c r="F250" s="4"/>
      <x:c r="G250" s="4"/>
      <x:c r="H250" s="4"/>
      <x:c r="I250" s="4"/>
      <x:c r="J250" s="4"/>
      <x:c r="K250" s="4"/>
      <x:c r="L250" s="4"/>
      <x:c r="M250" s="4"/>
      <x:c r="N250" s="4"/>
      <x:c r="O250" s="4"/>
      <x:c r="P250" s="4"/>
      <x:c r="Q250" s="4"/>
      <x:c r="R250" s="6"/>
      <x:c r="S250" s="4"/>
      <x:c r="T250" s="4"/>
      <x:c r="U250" s="6"/>
      <x:c r="V250" s="4"/>
      <x:c r="W250" s="4"/>
      <x:c r="X250" s="4"/>
      <x:c r="Y250" s="4"/>
      <x:c r="Z250" s="4"/>
    </x:row>
    <x:row r="251" customFormat="false" ht="20" hidden="false" customHeight="true" outlineLevel="0" collapsed="false">
      <x:c r="A251" s="4"/>
      <x:c r="B251" s="5"/>
      <x:c r="C251" s="4"/>
      <x:c r="D251" s="4"/>
      <x:c r="E251" s="4"/>
      <x:c r="F251" s="4"/>
      <x:c r="G251" s="4"/>
      <x:c r="H251" s="4"/>
      <x:c r="I251" s="4"/>
      <x:c r="J251" s="4"/>
      <x:c r="K251" s="4"/>
      <x:c r="L251" s="4"/>
      <x:c r="M251" s="4"/>
      <x:c r="N251" s="4"/>
      <x:c r="O251" s="4"/>
      <x:c r="P251" s="4"/>
      <x:c r="Q251" s="4"/>
      <x:c r="R251" s="6"/>
      <x:c r="S251" s="4"/>
      <x:c r="T251" s="4"/>
      <x:c r="U251" s="6"/>
      <x:c r="V251" s="4"/>
      <x:c r="W251" s="4"/>
      <x:c r="X251" s="4"/>
      <x:c r="Y251" s="4"/>
      <x:c r="Z251" s="4"/>
    </x:row>
    <x:row r="252" customFormat="false" ht="20" hidden="false" customHeight="true" outlineLevel="0" collapsed="false">
      <x:c r="A252" s="4"/>
      <x:c r="B252" s="5"/>
      <x:c r="C252" s="4"/>
      <x:c r="D252" s="4"/>
      <x:c r="E252" s="4"/>
      <x:c r="F252" s="4"/>
      <x:c r="G252" s="4"/>
      <x:c r="H252" s="4"/>
      <x:c r="I252" s="4"/>
      <x:c r="J252" s="4"/>
      <x:c r="K252" s="4"/>
      <x:c r="L252" s="4"/>
      <x:c r="M252" s="4"/>
      <x:c r="N252" s="4"/>
      <x:c r="O252" s="4"/>
      <x:c r="P252" s="4"/>
      <x:c r="Q252" s="4"/>
      <x:c r="R252" s="6"/>
      <x:c r="S252" s="4"/>
      <x:c r="T252" s="4"/>
      <x:c r="U252" s="6"/>
      <x:c r="V252" s="4"/>
      <x:c r="W252" s="4"/>
      <x:c r="X252" s="4"/>
      <x:c r="Y252" s="4"/>
      <x:c r="Z252" s="4"/>
    </x:row>
    <x:row r="253" customFormat="false" ht="20" hidden="false" customHeight="true" outlineLevel="0" collapsed="false">
      <x:c r="A253" s="4"/>
      <x:c r="B253" s="5"/>
      <x:c r="C253" s="4"/>
      <x:c r="D253" s="4"/>
      <x:c r="E253" s="4"/>
      <x:c r="F253" s="4"/>
      <x:c r="G253" s="4"/>
      <x:c r="H253" s="4"/>
      <x:c r="I253" s="4"/>
      <x:c r="J253" s="4"/>
      <x:c r="K253" s="4"/>
      <x:c r="L253" s="4"/>
      <x:c r="M253" s="4"/>
      <x:c r="N253" s="4"/>
      <x:c r="O253" s="4"/>
      <x:c r="P253" s="4"/>
      <x:c r="Q253" s="4"/>
      <x:c r="R253" s="6"/>
      <x:c r="S253" s="4"/>
      <x:c r="T253" s="4"/>
      <x:c r="U253" s="6"/>
      <x:c r="V253" s="4"/>
      <x:c r="W253" s="4"/>
      <x:c r="X253" s="4"/>
      <x:c r="Y253" s="4"/>
      <x:c r="Z253" s="4"/>
    </x:row>
    <x:row r="254" customFormat="false" ht="20" hidden="false" customHeight="true" outlineLevel="0" collapsed="false">
      <x:c r="A254" s="4"/>
      <x:c r="B254" s="5"/>
      <x:c r="C254" s="4"/>
      <x:c r="D254" s="4"/>
      <x:c r="E254" s="4"/>
      <x:c r="F254" s="4"/>
      <x:c r="G254" s="4"/>
      <x:c r="H254" s="4"/>
      <x:c r="I254" s="4"/>
      <x:c r="J254" s="4"/>
      <x:c r="K254" s="4"/>
      <x:c r="L254" s="4"/>
      <x:c r="M254" s="4"/>
      <x:c r="N254" s="4"/>
      <x:c r="O254" s="4"/>
      <x:c r="P254" s="4"/>
      <x:c r="Q254" s="4"/>
      <x:c r="R254" s="6"/>
      <x:c r="S254" s="4"/>
      <x:c r="T254" s="4"/>
      <x:c r="U254" s="6"/>
      <x:c r="V254" s="4"/>
      <x:c r="W254" s="4"/>
      <x:c r="X254" s="4"/>
      <x:c r="Y254" s="4"/>
      <x:c r="Z254" s="4"/>
    </x:row>
    <x:row r="255" customFormat="false" ht="20" hidden="false" customHeight="true" outlineLevel="0" collapsed="false">
      <x:c r="A255" s="4"/>
      <x:c r="B255" s="5"/>
      <x:c r="C255" s="4"/>
      <x:c r="D255" s="4"/>
      <x:c r="E255" s="4"/>
      <x:c r="F255" s="4"/>
      <x:c r="G255" s="4"/>
      <x:c r="H255" s="4"/>
      <x:c r="I255" s="4"/>
      <x:c r="J255" s="4"/>
      <x:c r="K255" s="4"/>
      <x:c r="L255" s="4"/>
      <x:c r="M255" s="4"/>
      <x:c r="N255" s="4"/>
      <x:c r="O255" s="4"/>
      <x:c r="P255" s="4"/>
      <x:c r="Q255" s="4"/>
      <x:c r="R255" s="6"/>
      <x:c r="S255" s="4"/>
      <x:c r="T255" s="4"/>
      <x:c r="U255" s="6"/>
      <x:c r="V255" s="4"/>
      <x:c r="W255" s="4"/>
      <x:c r="X255" s="4"/>
      <x:c r="Y255" s="4"/>
      <x:c r="Z255" s="4"/>
    </x:row>
    <x:row r="256" customFormat="false" ht="20" hidden="false" customHeight="true" outlineLevel="0" collapsed="false">
      <x:c r="A256" s="4"/>
      <x:c r="B256" s="5"/>
      <x:c r="C256" s="4"/>
      <x:c r="D256" s="4"/>
      <x:c r="E256" s="4"/>
      <x:c r="F256" s="4"/>
      <x:c r="G256" s="4"/>
      <x:c r="H256" s="4"/>
      <x:c r="I256" s="4"/>
      <x:c r="J256" s="4"/>
      <x:c r="K256" s="4"/>
      <x:c r="L256" s="4"/>
      <x:c r="M256" s="4"/>
      <x:c r="N256" s="4"/>
      <x:c r="O256" s="4"/>
      <x:c r="P256" s="4"/>
      <x:c r="Q256" s="4"/>
      <x:c r="R256" s="6"/>
      <x:c r="S256" s="4"/>
      <x:c r="T256" s="4"/>
      <x:c r="U256" s="6"/>
      <x:c r="V256" s="4"/>
      <x:c r="W256" s="4"/>
      <x:c r="X256" s="4"/>
      <x:c r="Y256" s="4"/>
      <x:c r="Z256" s="4"/>
    </x:row>
    <x:row r="257" customFormat="false" ht="20" hidden="false" customHeight="true" outlineLevel="0" collapsed="false">
      <x:c r="A257" s="4"/>
      <x:c r="B257" s="5"/>
      <x:c r="C257" s="4"/>
      <x:c r="D257" s="4"/>
      <x:c r="E257" s="4"/>
      <x:c r="F257" s="4"/>
      <x:c r="G257" s="4"/>
      <x:c r="H257" s="4"/>
      <x:c r="I257" s="4"/>
      <x:c r="J257" s="4"/>
      <x:c r="K257" s="4"/>
      <x:c r="L257" s="4"/>
      <x:c r="M257" s="4"/>
      <x:c r="N257" s="4"/>
      <x:c r="O257" s="4"/>
      <x:c r="P257" s="4"/>
      <x:c r="Q257" s="4"/>
      <x:c r="R257" s="6"/>
      <x:c r="S257" s="4"/>
      <x:c r="T257" s="4"/>
      <x:c r="U257" s="6"/>
      <x:c r="V257" s="4"/>
      <x:c r="W257" s="4"/>
      <x:c r="X257" s="4"/>
      <x:c r="Y257" s="4"/>
      <x:c r="Z257" s="4"/>
    </x:row>
    <x:row r="258" customFormat="false" ht="20" hidden="false" customHeight="true" outlineLevel="0" collapsed="false">
      <x:c r="A258" s="4"/>
      <x:c r="B258" s="5"/>
      <x:c r="C258" s="4"/>
      <x:c r="D258" s="4"/>
      <x:c r="E258" s="4"/>
      <x:c r="F258" s="4"/>
      <x:c r="G258" s="4"/>
      <x:c r="H258" s="4"/>
      <x:c r="I258" s="4"/>
      <x:c r="J258" s="4"/>
      <x:c r="K258" s="4"/>
      <x:c r="L258" s="4"/>
      <x:c r="M258" s="4"/>
      <x:c r="N258" s="4"/>
      <x:c r="O258" s="4"/>
      <x:c r="P258" s="4"/>
      <x:c r="Q258" s="4"/>
      <x:c r="R258" s="6"/>
      <x:c r="S258" s="4"/>
      <x:c r="T258" s="4"/>
      <x:c r="U258" s="6"/>
      <x:c r="V258" s="4"/>
      <x:c r="W258" s="4"/>
      <x:c r="X258" s="4"/>
      <x:c r="Y258" s="4"/>
      <x:c r="Z258" s="4"/>
    </x:row>
    <x:row r="259" customFormat="false" ht="20" hidden="false" customHeight="true" outlineLevel="0" collapsed="false">
      <x:c r="A259" s="4"/>
      <x:c r="B259" s="5"/>
      <x:c r="C259" s="4"/>
      <x:c r="D259" s="4"/>
      <x:c r="E259" s="4"/>
      <x:c r="F259" s="4"/>
      <x:c r="G259" s="4"/>
      <x:c r="H259" s="4"/>
      <x:c r="I259" s="4"/>
      <x:c r="J259" s="4"/>
      <x:c r="K259" s="4"/>
      <x:c r="L259" s="4"/>
      <x:c r="M259" s="4"/>
      <x:c r="N259" s="4"/>
      <x:c r="O259" s="4"/>
      <x:c r="P259" s="4"/>
      <x:c r="Q259" s="4"/>
      <x:c r="R259" s="6"/>
      <x:c r="S259" s="4"/>
      <x:c r="T259" s="4"/>
      <x:c r="U259" s="6"/>
      <x:c r="V259" s="4"/>
      <x:c r="W259" s="4"/>
      <x:c r="X259" s="4"/>
      <x:c r="Y259" s="4"/>
      <x:c r="Z259" s="4"/>
    </x:row>
    <x:row r="260" customFormat="false" ht="20" hidden="false" customHeight="true" outlineLevel="0" collapsed="false">
      <x:c r="A260" s="4"/>
      <x:c r="B260" s="5"/>
      <x:c r="C260" s="4"/>
      <x:c r="D260" s="4"/>
      <x:c r="E260" s="4"/>
      <x:c r="F260" s="4"/>
      <x:c r="G260" s="4"/>
      <x:c r="H260" s="4"/>
      <x:c r="I260" s="4"/>
      <x:c r="J260" s="4"/>
      <x:c r="K260" s="4"/>
      <x:c r="L260" s="4"/>
      <x:c r="M260" s="4"/>
      <x:c r="N260" s="4"/>
      <x:c r="O260" s="4"/>
      <x:c r="P260" s="4"/>
      <x:c r="Q260" s="4"/>
      <x:c r="R260" s="6"/>
      <x:c r="S260" s="4"/>
      <x:c r="T260" s="4"/>
      <x:c r="U260" s="6"/>
      <x:c r="V260" s="4"/>
      <x:c r="W260" s="4"/>
      <x:c r="X260" s="4"/>
      <x:c r="Y260" s="4"/>
      <x:c r="Z260" s="4"/>
    </x:row>
    <x:row r="261" customFormat="false" ht="20" hidden="false" customHeight="true" outlineLevel="0" collapsed="false">
      <x:c r="A261" s="4"/>
      <x:c r="B261" s="5"/>
      <x:c r="C261" s="4"/>
      <x:c r="D261" s="4"/>
      <x:c r="E261" s="4"/>
      <x:c r="F261" s="4"/>
      <x:c r="G261" s="4"/>
      <x:c r="H261" s="4"/>
      <x:c r="I261" s="4"/>
      <x:c r="J261" s="4"/>
      <x:c r="K261" s="4"/>
      <x:c r="L261" s="4"/>
      <x:c r="M261" s="4"/>
      <x:c r="N261" s="4"/>
      <x:c r="O261" s="4"/>
      <x:c r="P261" s="4"/>
      <x:c r="Q261" s="4"/>
      <x:c r="R261" s="6"/>
      <x:c r="S261" s="4"/>
      <x:c r="T261" s="4"/>
      <x:c r="U261" s="6"/>
      <x:c r="V261" s="4"/>
      <x:c r="W261" s="4"/>
      <x:c r="X261" s="4"/>
      <x:c r="Y261" s="4"/>
      <x:c r="Z261" s="4"/>
    </x:row>
    <x:row r="262" customFormat="false" ht="20" hidden="false" customHeight="true" outlineLevel="0" collapsed="false">
      <x:c r="A262" s="4"/>
      <x:c r="B262" s="5"/>
      <x:c r="C262" s="4"/>
      <x:c r="D262" s="4"/>
      <x:c r="E262" s="4"/>
      <x:c r="F262" s="4"/>
      <x:c r="G262" s="4"/>
      <x:c r="H262" s="4"/>
      <x:c r="I262" s="4"/>
      <x:c r="J262" s="4"/>
      <x:c r="K262" s="4"/>
      <x:c r="L262" s="4"/>
      <x:c r="M262" s="4"/>
      <x:c r="N262" s="4"/>
      <x:c r="O262" s="4"/>
      <x:c r="P262" s="4"/>
      <x:c r="Q262" s="4"/>
      <x:c r="R262" s="6"/>
      <x:c r="S262" s="4"/>
      <x:c r="T262" s="4"/>
      <x:c r="U262" s="6"/>
      <x:c r="V262" s="4"/>
      <x:c r="W262" s="4"/>
      <x:c r="X262" s="4"/>
      <x:c r="Y262" s="4"/>
      <x:c r="Z262" s="4"/>
    </x:row>
    <x:row r="263" customFormat="false" ht="20" hidden="false" customHeight="true" outlineLevel="0" collapsed="false">
      <x:c r="A263" s="4"/>
      <x:c r="B263" s="5"/>
      <x:c r="C263" s="4"/>
      <x:c r="D263" s="4"/>
      <x:c r="E263" s="4"/>
      <x:c r="F263" s="4"/>
      <x:c r="G263" s="4"/>
      <x:c r="H263" s="4"/>
      <x:c r="I263" s="4"/>
      <x:c r="J263" s="4"/>
      <x:c r="K263" s="4"/>
      <x:c r="L263" s="4"/>
      <x:c r="M263" s="4"/>
      <x:c r="N263" s="4"/>
      <x:c r="O263" s="4"/>
      <x:c r="P263" s="4"/>
      <x:c r="Q263" s="4"/>
      <x:c r="R263" s="6"/>
      <x:c r="S263" s="4"/>
      <x:c r="T263" s="4"/>
      <x:c r="U263" s="6"/>
      <x:c r="V263" s="4"/>
      <x:c r="W263" s="4"/>
      <x:c r="X263" s="4"/>
      <x:c r="Y263" s="4"/>
      <x:c r="Z263" s="4"/>
    </x:row>
    <x:row r="264" customFormat="false" ht="20" hidden="false" customHeight="true" outlineLevel="0" collapsed="false">
      <x:c r="A264" s="4"/>
      <x:c r="B264" s="5"/>
      <x:c r="C264" s="4"/>
      <x:c r="D264" s="4"/>
      <x:c r="E264" s="4"/>
      <x:c r="F264" s="4"/>
      <x:c r="G264" s="4"/>
      <x:c r="H264" s="4"/>
      <x:c r="I264" s="4"/>
      <x:c r="J264" s="4"/>
      <x:c r="K264" s="4"/>
      <x:c r="L264" s="4"/>
      <x:c r="M264" s="4"/>
      <x:c r="N264" s="4"/>
      <x:c r="O264" s="4"/>
      <x:c r="P264" s="4"/>
      <x:c r="Q264" s="4"/>
      <x:c r="R264" s="6"/>
      <x:c r="S264" s="4"/>
      <x:c r="T264" s="4"/>
      <x:c r="U264" s="6"/>
      <x:c r="V264" s="4"/>
      <x:c r="W264" s="4"/>
      <x:c r="X264" s="4"/>
      <x:c r="Y264" s="4"/>
      <x:c r="Z264" s="4"/>
    </x:row>
    <x:row r="265" customFormat="false" ht="20" hidden="false" customHeight="true" outlineLevel="0" collapsed="false">
      <x:c r="A265" s="4"/>
      <x:c r="B265" s="5"/>
      <x:c r="C265" s="4"/>
      <x:c r="D265" s="4"/>
      <x:c r="E265" s="4"/>
      <x:c r="F265" s="4"/>
      <x:c r="G265" s="4"/>
      <x:c r="H265" s="4"/>
      <x:c r="I265" s="4"/>
      <x:c r="J265" s="4"/>
      <x:c r="K265" s="4"/>
      <x:c r="L265" s="4"/>
      <x:c r="M265" s="4"/>
      <x:c r="N265" s="4"/>
      <x:c r="O265" s="4"/>
      <x:c r="P265" s="4"/>
      <x:c r="Q265" s="4"/>
      <x:c r="R265" s="6"/>
      <x:c r="S265" s="4"/>
      <x:c r="T265" s="4"/>
      <x:c r="U265" s="6"/>
      <x:c r="V265" s="4"/>
      <x:c r="W265" s="4"/>
      <x:c r="X265" s="4"/>
      <x:c r="Y265" s="4"/>
      <x:c r="Z265" s="4"/>
    </x:row>
    <x:row r="266" customFormat="false" ht="20" hidden="false" customHeight="true" outlineLevel="0" collapsed="false">
      <x:c r="A266" s="4"/>
      <x:c r="B266" s="5"/>
      <x:c r="C266" s="4"/>
      <x:c r="D266" s="4"/>
      <x:c r="E266" s="4"/>
      <x:c r="F266" s="4"/>
      <x:c r="G266" s="4"/>
      <x:c r="H266" s="4"/>
      <x:c r="I266" s="4"/>
      <x:c r="J266" s="4"/>
      <x:c r="K266" s="4"/>
      <x:c r="L266" s="4"/>
      <x:c r="M266" s="4"/>
      <x:c r="N266" s="4"/>
      <x:c r="O266" s="4"/>
      <x:c r="P266" s="4"/>
      <x:c r="Q266" s="4"/>
      <x:c r="R266" s="6"/>
      <x:c r="S266" s="4"/>
      <x:c r="T266" s="4"/>
      <x:c r="U266" s="6"/>
      <x:c r="V266" s="4"/>
      <x:c r="W266" s="4"/>
      <x:c r="X266" s="4"/>
      <x:c r="Y266" s="4"/>
      <x:c r="Z266" s="4"/>
    </x:row>
    <x:row r="267" customFormat="false" ht="20" hidden="false" customHeight="true" outlineLevel="0" collapsed="false">
      <x:c r="A267" s="4"/>
      <x:c r="B267" s="5"/>
      <x:c r="C267" s="4"/>
      <x:c r="D267" s="4"/>
      <x:c r="E267" s="4"/>
      <x:c r="F267" s="4"/>
      <x:c r="G267" s="4"/>
      <x:c r="H267" s="4"/>
      <x:c r="I267" s="4"/>
      <x:c r="J267" s="4"/>
      <x:c r="K267" s="4"/>
      <x:c r="L267" s="4"/>
      <x:c r="M267" s="4"/>
      <x:c r="N267" s="4"/>
      <x:c r="O267" s="4"/>
      <x:c r="P267" s="4"/>
      <x:c r="Q267" s="4"/>
      <x:c r="R267" s="6"/>
      <x:c r="S267" s="4"/>
      <x:c r="T267" s="4"/>
      <x:c r="U267" s="6"/>
      <x:c r="V267" s="4"/>
      <x:c r="W267" s="4"/>
      <x:c r="X267" s="4"/>
      <x:c r="Y267" s="4"/>
      <x:c r="Z267" s="4"/>
    </x:row>
    <x:row r="268" customFormat="false" ht="20" hidden="false" customHeight="true" outlineLevel="0" collapsed="false">
      <x:c r="A268" s="4"/>
      <x:c r="B268" s="5"/>
      <x:c r="C268" s="4"/>
      <x:c r="D268" s="4"/>
      <x:c r="E268" s="4"/>
      <x:c r="F268" s="4"/>
      <x:c r="G268" s="4"/>
      <x:c r="H268" s="4"/>
      <x:c r="I268" s="4"/>
      <x:c r="J268" s="4"/>
      <x:c r="K268" s="4"/>
      <x:c r="L268" s="4"/>
      <x:c r="M268" s="4"/>
      <x:c r="N268" s="4"/>
      <x:c r="O268" s="4"/>
      <x:c r="P268" s="4"/>
      <x:c r="Q268" s="4"/>
      <x:c r="R268" s="6"/>
      <x:c r="S268" s="4"/>
      <x:c r="T268" s="4"/>
      <x:c r="U268" s="6"/>
      <x:c r="V268" s="4"/>
      <x:c r="W268" s="4"/>
      <x:c r="X268" s="4"/>
      <x:c r="Y268" s="4"/>
      <x:c r="Z268" s="4"/>
    </x:row>
    <x:row r="269" customFormat="false" ht="20" hidden="false" customHeight="true" outlineLevel="0" collapsed="false">
      <x:c r="A269" s="4"/>
      <x:c r="B269" s="5"/>
      <x:c r="C269" s="4"/>
      <x:c r="D269" s="4"/>
      <x:c r="E269" s="4"/>
      <x:c r="F269" s="4"/>
      <x:c r="G269" s="4"/>
      <x:c r="H269" s="4"/>
      <x:c r="I269" s="4"/>
      <x:c r="J269" s="4"/>
      <x:c r="K269" s="4"/>
      <x:c r="L269" s="4"/>
      <x:c r="M269" s="4"/>
      <x:c r="N269" s="4"/>
      <x:c r="O269" s="4"/>
      <x:c r="P269" s="4"/>
      <x:c r="Q269" s="4"/>
      <x:c r="R269" s="6"/>
      <x:c r="S269" s="4"/>
      <x:c r="T269" s="4"/>
      <x:c r="U269" s="6"/>
      <x:c r="V269" s="4"/>
      <x:c r="W269" s="4"/>
      <x:c r="X269" s="4"/>
      <x:c r="Y269" s="4"/>
      <x:c r="Z269" s="4"/>
    </x:row>
    <x:row r="270" customFormat="false" ht="20" hidden="false" customHeight="true" outlineLevel="0" collapsed="false">
      <x:c r="A270" s="4"/>
      <x:c r="B270" s="5"/>
      <x:c r="C270" s="4"/>
      <x:c r="D270" s="4"/>
      <x:c r="E270" s="4"/>
      <x:c r="F270" s="4"/>
      <x:c r="G270" s="4"/>
      <x:c r="H270" s="4"/>
      <x:c r="I270" s="4"/>
      <x:c r="J270" s="4"/>
      <x:c r="K270" s="4"/>
      <x:c r="L270" s="4"/>
      <x:c r="M270" s="4"/>
      <x:c r="N270" s="4"/>
      <x:c r="O270" s="4"/>
      <x:c r="P270" s="4"/>
      <x:c r="Q270" s="4"/>
      <x:c r="R270" s="6"/>
      <x:c r="S270" s="4"/>
      <x:c r="T270" s="4"/>
      <x:c r="U270" s="6"/>
      <x:c r="V270" s="4"/>
      <x:c r="W270" s="4"/>
      <x:c r="X270" s="4"/>
      <x:c r="Y270" s="4"/>
      <x:c r="Z270" s="4"/>
    </x:row>
    <x:row r="271" customFormat="false" ht="20" hidden="false" customHeight="true" outlineLevel="0" collapsed="false">
      <x:c r="A271" s="4"/>
      <x:c r="B271" s="5"/>
      <x:c r="C271" s="4"/>
      <x:c r="D271" s="4"/>
      <x:c r="E271" s="4"/>
      <x:c r="F271" s="4"/>
      <x:c r="G271" s="4"/>
      <x:c r="H271" s="4"/>
      <x:c r="I271" s="4"/>
      <x:c r="J271" s="4"/>
      <x:c r="K271" s="4"/>
      <x:c r="L271" s="4"/>
      <x:c r="M271" s="4"/>
      <x:c r="N271" s="4"/>
      <x:c r="O271" s="4"/>
      <x:c r="P271" s="4"/>
      <x:c r="Q271" s="4"/>
      <x:c r="R271" s="6"/>
      <x:c r="S271" s="4"/>
      <x:c r="T271" s="4"/>
      <x:c r="U271" s="6"/>
      <x:c r="V271" s="4"/>
      <x:c r="W271" s="4"/>
      <x:c r="X271" s="4"/>
      <x:c r="Y271" s="4"/>
      <x:c r="Z271" s="4"/>
    </x:row>
    <x:row r="272" customFormat="false" ht="20" hidden="false" customHeight="true" outlineLevel="0" collapsed="false">
      <x:c r="A272" s="4"/>
      <x:c r="B272" s="5"/>
      <x:c r="C272" s="4"/>
      <x:c r="D272" s="4"/>
      <x:c r="E272" s="4"/>
      <x:c r="F272" s="4"/>
      <x:c r="G272" s="4"/>
      <x:c r="H272" s="4"/>
      <x:c r="I272" s="4"/>
      <x:c r="J272" s="4"/>
      <x:c r="K272" s="4"/>
      <x:c r="L272" s="4"/>
      <x:c r="M272" s="4"/>
      <x:c r="N272" s="4"/>
      <x:c r="O272" s="4"/>
      <x:c r="P272" s="4"/>
      <x:c r="Q272" s="4"/>
      <x:c r="R272" s="6"/>
      <x:c r="S272" s="4"/>
      <x:c r="T272" s="4"/>
      <x:c r="U272" s="6"/>
      <x:c r="V272" s="4"/>
      <x:c r="W272" s="4"/>
      <x:c r="X272" s="4"/>
      <x:c r="Y272" s="4"/>
      <x:c r="Z272" s="4"/>
    </x:row>
    <x:row r="273" customFormat="false" ht="20" hidden="false" customHeight="true" outlineLevel="0" collapsed="false">
      <x:c r="A273" s="4"/>
      <x:c r="B273" s="5"/>
      <x:c r="C273" s="4"/>
      <x:c r="D273" s="4"/>
      <x:c r="E273" s="4"/>
      <x:c r="F273" s="4"/>
      <x:c r="G273" s="4"/>
      <x:c r="H273" s="4"/>
      <x:c r="I273" s="4"/>
      <x:c r="J273" s="4"/>
      <x:c r="K273" s="4"/>
      <x:c r="L273" s="4"/>
      <x:c r="M273" s="4"/>
      <x:c r="N273" s="4"/>
      <x:c r="O273" s="4"/>
      <x:c r="P273" s="4"/>
      <x:c r="Q273" s="4"/>
      <x:c r="R273" s="6"/>
      <x:c r="S273" s="4"/>
      <x:c r="T273" s="4"/>
      <x:c r="U273" s="6"/>
      <x:c r="V273" s="4"/>
      <x:c r="W273" s="4"/>
      <x:c r="X273" s="4"/>
      <x:c r="Y273" s="4"/>
      <x:c r="Z273" s="4"/>
    </x:row>
    <x:row r="274" customFormat="false" ht="20" hidden="false" customHeight="true" outlineLevel="0" collapsed="false">
      <x:c r="A274" s="4"/>
      <x:c r="B274" s="5"/>
      <x:c r="C274" s="4"/>
      <x:c r="D274" s="4"/>
      <x:c r="E274" s="4"/>
      <x:c r="F274" s="4"/>
      <x:c r="G274" s="4"/>
      <x:c r="H274" s="4"/>
      <x:c r="I274" s="4"/>
      <x:c r="J274" s="4"/>
      <x:c r="K274" s="4"/>
      <x:c r="L274" s="4"/>
      <x:c r="M274" s="4"/>
      <x:c r="N274" s="4"/>
      <x:c r="O274" s="4"/>
      <x:c r="P274" s="4"/>
      <x:c r="Q274" s="4"/>
      <x:c r="R274" s="6"/>
      <x:c r="S274" s="4"/>
      <x:c r="T274" s="4"/>
      <x:c r="U274" s="6"/>
      <x:c r="V274" s="4"/>
      <x:c r="W274" s="4"/>
      <x:c r="X274" s="4"/>
      <x:c r="Y274" s="4"/>
      <x:c r="Z274" s="4"/>
    </x:row>
    <x:row r="275" customFormat="false" ht="20" hidden="false" customHeight="true" outlineLevel="0" collapsed="false">
      <x:c r="A275" s="4"/>
      <x:c r="B275" s="5"/>
      <x:c r="C275" s="4"/>
      <x:c r="D275" s="4"/>
      <x:c r="E275" s="4"/>
      <x:c r="F275" s="4"/>
      <x:c r="G275" s="4"/>
      <x:c r="H275" s="4"/>
      <x:c r="I275" s="4"/>
      <x:c r="J275" s="4"/>
      <x:c r="K275" s="4"/>
      <x:c r="L275" s="4"/>
      <x:c r="M275" s="4"/>
      <x:c r="N275" s="4"/>
      <x:c r="O275" s="4"/>
      <x:c r="P275" s="4"/>
      <x:c r="Q275" s="4"/>
      <x:c r="R275" s="6"/>
      <x:c r="S275" s="4"/>
      <x:c r="T275" s="4"/>
      <x:c r="U275" s="6"/>
      <x:c r="V275" s="4"/>
      <x:c r="W275" s="4"/>
      <x:c r="X275" s="4"/>
      <x:c r="Y275" s="4"/>
      <x:c r="Z275" s="4"/>
    </x:row>
    <x:row r="276" customFormat="false" ht="20" hidden="false" customHeight="true" outlineLevel="0" collapsed="false">
      <x:c r="A276" s="4"/>
      <x:c r="B276" s="5"/>
      <x:c r="C276" s="4"/>
      <x:c r="D276" s="4"/>
      <x:c r="E276" s="4"/>
      <x:c r="F276" s="4"/>
      <x:c r="G276" s="4"/>
      <x:c r="H276" s="4"/>
      <x:c r="I276" s="4"/>
      <x:c r="J276" s="4"/>
      <x:c r="K276" s="4"/>
      <x:c r="L276" s="4"/>
      <x:c r="M276" s="4"/>
      <x:c r="N276" s="4"/>
      <x:c r="O276" s="4"/>
      <x:c r="P276" s="4"/>
      <x:c r="Q276" s="4"/>
      <x:c r="R276" s="6"/>
      <x:c r="S276" s="4"/>
      <x:c r="T276" s="4"/>
      <x:c r="U276" s="6"/>
      <x:c r="V276" s="4"/>
      <x:c r="W276" s="4"/>
      <x:c r="X276" s="4"/>
      <x:c r="Y276" s="4"/>
      <x:c r="Z276" s="4"/>
    </x:row>
    <x:row r="277" customFormat="false" ht="20" hidden="false" customHeight="true" outlineLevel="0" collapsed="false">
      <x:c r="A277" s="4"/>
      <x:c r="B277" s="5"/>
      <x:c r="C277" s="4"/>
      <x:c r="D277" s="4"/>
      <x:c r="E277" s="4"/>
      <x:c r="F277" s="4"/>
      <x:c r="G277" s="4"/>
      <x:c r="H277" s="4"/>
      <x:c r="I277" s="4"/>
      <x:c r="J277" s="4"/>
      <x:c r="K277" s="4"/>
      <x:c r="L277" s="4"/>
      <x:c r="M277" s="4"/>
      <x:c r="N277" s="4"/>
      <x:c r="O277" s="4"/>
      <x:c r="P277" s="4"/>
      <x:c r="Q277" s="4"/>
      <x:c r="R277" s="6"/>
      <x:c r="S277" s="4"/>
      <x:c r="T277" s="4"/>
      <x:c r="U277" s="6"/>
      <x:c r="V277" s="4"/>
      <x:c r="W277" s="4"/>
      <x:c r="X277" s="4"/>
      <x:c r="Y277" s="4"/>
      <x:c r="Z277" s="4"/>
    </x:row>
    <x:row r="278" customFormat="false" ht="20" hidden="false" customHeight="true" outlineLevel="0" collapsed="false">
      <x:c r="A278" s="4"/>
      <x:c r="B278" s="5"/>
      <x:c r="C278" s="4"/>
      <x:c r="D278" s="4"/>
      <x:c r="E278" s="4"/>
      <x:c r="F278" s="4"/>
      <x:c r="G278" s="4"/>
      <x:c r="H278" s="4"/>
      <x:c r="I278" s="4"/>
      <x:c r="J278" s="4"/>
      <x:c r="K278" s="4"/>
      <x:c r="L278" s="4"/>
      <x:c r="M278" s="4"/>
      <x:c r="N278" s="4"/>
      <x:c r="O278" s="4"/>
      <x:c r="P278" s="4"/>
      <x:c r="Q278" s="4"/>
      <x:c r="R278" s="6"/>
      <x:c r="S278" s="4"/>
      <x:c r="T278" s="4"/>
      <x:c r="U278" s="6"/>
      <x:c r="V278" s="4"/>
      <x:c r="W278" s="4"/>
      <x:c r="X278" s="4"/>
      <x:c r="Y278" s="4"/>
      <x:c r="Z278" s="4"/>
    </x:row>
    <x:row r="279" customFormat="false" ht="20" hidden="false" customHeight="true" outlineLevel="0" collapsed="false">
      <x:c r="A279" s="4"/>
      <x:c r="B279" s="5"/>
      <x:c r="C279" s="4"/>
      <x:c r="D279" s="4"/>
      <x:c r="E279" s="4"/>
      <x:c r="F279" s="4"/>
      <x:c r="G279" s="4"/>
      <x:c r="H279" s="4"/>
      <x:c r="I279" s="4"/>
      <x:c r="J279" s="4"/>
      <x:c r="K279" s="4"/>
      <x:c r="L279" s="4"/>
      <x:c r="M279" s="4"/>
      <x:c r="N279" s="4"/>
      <x:c r="O279" s="4"/>
      <x:c r="P279" s="4"/>
      <x:c r="Q279" s="4"/>
      <x:c r="R279" s="6"/>
      <x:c r="S279" s="4"/>
      <x:c r="T279" s="4"/>
      <x:c r="U279" s="6"/>
      <x:c r="V279" s="4"/>
      <x:c r="W279" s="4"/>
      <x:c r="X279" s="4"/>
      <x:c r="Y279" s="4"/>
      <x:c r="Z279" s="4"/>
    </x:row>
    <x:row r="280" customFormat="false" ht="20" hidden="false" customHeight="true" outlineLevel="0" collapsed="false">
      <x:c r="A280" s="4"/>
      <x:c r="B280" s="5"/>
      <x:c r="C280" s="4"/>
      <x:c r="D280" s="4"/>
      <x:c r="E280" s="4"/>
      <x:c r="F280" s="4"/>
      <x:c r="G280" s="4"/>
      <x:c r="H280" s="4"/>
      <x:c r="I280" s="4"/>
      <x:c r="J280" s="4"/>
      <x:c r="K280" s="4"/>
      <x:c r="L280" s="4"/>
      <x:c r="M280" s="4"/>
      <x:c r="N280" s="4"/>
      <x:c r="O280" s="4"/>
      <x:c r="P280" s="4"/>
      <x:c r="Q280" s="4"/>
      <x:c r="R280" s="6"/>
      <x:c r="S280" s="4"/>
      <x:c r="T280" s="4"/>
      <x:c r="U280" s="6"/>
      <x:c r="V280" s="4"/>
      <x:c r="W280" s="4"/>
      <x:c r="X280" s="4"/>
      <x:c r="Y280" s="4"/>
      <x:c r="Z280" s="4"/>
    </x:row>
    <x:row r="281" customFormat="false" ht="20" hidden="false" customHeight="true" outlineLevel="0" collapsed="false">
      <x:c r="A281" s="4"/>
      <x:c r="B281" s="5"/>
      <x:c r="C281" s="4"/>
      <x:c r="D281" s="4"/>
      <x:c r="E281" s="4"/>
      <x:c r="F281" s="4"/>
      <x:c r="G281" s="4"/>
      <x:c r="H281" s="4"/>
      <x:c r="I281" s="4"/>
      <x:c r="J281" s="4"/>
      <x:c r="K281" s="4"/>
      <x:c r="L281" s="4"/>
      <x:c r="M281" s="4"/>
      <x:c r="N281" s="4"/>
      <x:c r="O281" s="4"/>
      <x:c r="P281" s="4"/>
      <x:c r="Q281" s="4"/>
      <x:c r="R281" s="6"/>
      <x:c r="S281" s="4"/>
      <x:c r="T281" s="4"/>
      <x:c r="U281" s="6"/>
      <x:c r="V281" s="4"/>
      <x:c r="W281" s="4"/>
      <x:c r="X281" s="4"/>
      <x:c r="Y281" s="4"/>
      <x:c r="Z281" s="4"/>
    </x:row>
    <x:row r="282" customFormat="false" ht="20" hidden="false" customHeight="true" outlineLevel="0" collapsed="false">
      <x:c r="A282" s="4"/>
      <x:c r="B282" s="5"/>
      <x:c r="C282" s="4"/>
      <x:c r="D282" s="4"/>
      <x:c r="E282" s="4"/>
      <x:c r="F282" s="4"/>
      <x:c r="G282" s="4"/>
      <x:c r="H282" s="4"/>
      <x:c r="I282" s="4"/>
      <x:c r="J282" s="4"/>
      <x:c r="K282" s="4"/>
      <x:c r="L282" s="4"/>
      <x:c r="M282" s="4"/>
      <x:c r="N282" s="4"/>
      <x:c r="O282" s="4"/>
      <x:c r="P282" s="4"/>
      <x:c r="Q282" s="4"/>
      <x:c r="R282" s="6"/>
      <x:c r="S282" s="4"/>
      <x:c r="T282" s="4"/>
      <x:c r="U282" s="6"/>
      <x:c r="V282" s="4"/>
      <x:c r="W282" s="4"/>
      <x:c r="X282" s="4"/>
      <x:c r="Y282" s="4"/>
      <x:c r="Z282" s="4"/>
    </x:row>
    <x:row r="283" customFormat="false" ht="20" hidden="false" customHeight="true" outlineLevel="0" collapsed="false">
      <x:c r="A283" s="4"/>
      <x:c r="B283" s="5"/>
      <x:c r="C283" s="4"/>
      <x:c r="D283" s="4"/>
      <x:c r="E283" s="4"/>
      <x:c r="F283" s="4"/>
      <x:c r="G283" s="4"/>
      <x:c r="H283" s="4"/>
      <x:c r="I283" s="4"/>
      <x:c r="J283" s="4"/>
      <x:c r="K283" s="4"/>
      <x:c r="L283" s="4"/>
      <x:c r="M283" s="4"/>
      <x:c r="N283" s="4"/>
      <x:c r="O283" s="4"/>
      <x:c r="P283" s="4"/>
      <x:c r="Q283" s="4"/>
      <x:c r="R283" s="6"/>
      <x:c r="S283" s="4"/>
      <x:c r="T283" s="4"/>
      <x:c r="U283" s="6"/>
      <x:c r="V283" s="4"/>
      <x:c r="W283" s="4"/>
      <x:c r="X283" s="4"/>
      <x:c r="Y283" s="4"/>
      <x:c r="Z283" s="4"/>
    </x:row>
    <x:row r="284" customFormat="false" ht="20" hidden="false" customHeight="true" outlineLevel="0" collapsed="false">
      <x:c r="A284" s="4"/>
      <x:c r="B284" s="5"/>
      <x:c r="C284" s="4"/>
      <x:c r="D284" s="4"/>
      <x:c r="E284" s="4"/>
      <x:c r="F284" s="4"/>
      <x:c r="G284" s="4"/>
      <x:c r="H284" s="4"/>
      <x:c r="I284" s="4"/>
      <x:c r="J284" s="4"/>
      <x:c r="K284" s="4"/>
      <x:c r="L284" s="4"/>
      <x:c r="M284" s="4"/>
      <x:c r="N284" s="4"/>
      <x:c r="O284" s="4"/>
      <x:c r="P284" s="4"/>
      <x:c r="Q284" s="4"/>
      <x:c r="R284" s="6"/>
      <x:c r="S284" s="4"/>
      <x:c r="T284" s="4"/>
      <x:c r="U284" s="6"/>
      <x:c r="V284" s="4"/>
      <x:c r="W284" s="4"/>
      <x:c r="X284" s="4"/>
      <x:c r="Y284" s="4"/>
      <x:c r="Z284" s="4"/>
    </x:row>
    <x:row r="285" customFormat="false" ht="20" hidden="false" customHeight="true" outlineLevel="0" collapsed="false">
      <x:c r="A285" s="4"/>
      <x:c r="B285" s="5"/>
      <x:c r="C285" s="4"/>
      <x:c r="D285" s="4"/>
      <x:c r="E285" s="4"/>
      <x:c r="F285" s="4"/>
      <x:c r="G285" s="4"/>
      <x:c r="H285" s="4"/>
      <x:c r="I285" s="4"/>
      <x:c r="J285" s="4"/>
      <x:c r="K285" s="4"/>
      <x:c r="L285" s="4"/>
      <x:c r="M285" s="4"/>
      <x:c r="N285" s="4"/>
      <x:c r="O285" s="4"/>
      <x:c r="P285" s="4"/>
      <x:c r="Q285" s="4"/>
      <x:c r="R285" s="6"/>
      <x:c r="S285" s="4"/>
      <x:c r="T285" s="4"/>
      <x:c r="U285" s="6"/>
      <x:c r="V285" s="4"/>
      <x:c r="W285" s="4"/>
      <x:c r="X285" s="4"/>
      <x:c r="Y285" s="4"/>
      <x:c r="Z285" s="4"/>
    </x:row>
    <x:row r="286" customFormat="false" ht="20" hidden="false" customHeight="true" outlineLevel="0" collapsed="false">
      <x:c r="A286" s="4"/>
      <x:c r="B286" s="5"/>
      <x:c r="C286" s="4"/>
      <x:c r="D286" s="4"/>
      <x:c r="E286" s="4"/>
      <x:c r="F286" s="4"/>
      <x:c r="G286" s="4"/>
      <x:c r="H286" s="4"/>
      <x:c r="I286" s="4"/>
      <x:c r="J286" s="4"/>
      <x:c r="K286" s="4"/>
      <x:c r="L286" s="4"/>
      <x:c r="M286" s="4"/>
      <x:c r="N286" s="4"/>
      <x:c r="O286" s="4"/>
      <x:c r="P286" s="4"/>
      <x:c r="Q286" s="4"/>
      <x:c r="R286" s="6"/>
      <x:c r="S286" s="4"/>
      <x:c r="T286" s="4"/>
      <x:c r="U286" s="6"/>
      <x:c r="V286" s="4"/>
      <x:c r="W286" s="4"/>
      <x:c r="X286" s="4"/>
      <x:c r="Y286" s="4"/>
      <x:c r="Z286" s="4"/>
    </x:row>
    <x:row r="287" customFormat="false" ht="20" hidden="false" customHeight="true" outlineLevel="0" collapsed="false">
      <x:c r="A287" s="4"/>
      <x:c r="B287" s="5"/>
      <x:c r="C287" s="4"/>
      <x:c r="D287" s="4"/>
      <x:c r="E287" s="4"/>
      <x:c r="F287" s="4"/>
      <x:c r="G287" s="4"/>
      <x:c r="H287" s="4"/>
      <x:c r="I287" s="4"/>
      <x:c r="J287" s="4"/>
      <x:c r="K287" s="4"/>
      <x:c r="L287" s="4"/>
      <x:c r="M287" s="4"/>
      <x:c r="N287" s="4"/>
      <x:c r="O287" s="4"/>
      <x:c r="P287" s="4"/>
      <x:c r="Q287" s="4"/>
      <x:c r="R287" s="6"/>
      <x:c r="S287" s="4"/>
      <x:c r="T287" s="4"/>
      <x:c r="U287" s="6"/>
      <x:c r="V287" s="4"/>
      <x:c r="W287" s="4"/>
      <x:c r="X287" s="4"/>
      <x:c r="Y287" s="4"/>
      <x:c r="Z287" s="4"/>
    </x:row>
    <x:row r="288" customFormat="false" ht="20" hidden="false" customHeight="true" outlineLevel="0" collapsed="false">
      <x:c r="A288" s="4"/>
      <x:c r="B288" s="5"/>
      <x:c r="C288" s="4"/>
      <x:c r="D288" s="4"/>
      <x:c r="E288" s="4"/>
      <x:c r="F288" s="4"/>
      <x:c r="G288" s="4"/>
      <x:c r="H288" s="4"/>
      <x:c r="I288" s="4"/>
      <x:c r="J288" s="4"/>
      <x:c r="K288" s="4"/>
      <x:c r="L288" s="4"/>
      <x:c r="M288" s="4"/>
      <x:c r="N288" s="4"/>
      <x:c r="O288" s="4"/>
      <x:c r="P288" s="4"/>
      <x:c r="Q288" s="4"/>
      <x:c r="R288" s="6"/>
      <x:c r="S288" s="4"/>
      <x:c r="T288" s="4"/>
      <x:c r="U288" s="6"/>
      <x:c r="V288" s="4"/>
      <x:c r="W288" s="4"/>
      <x:c r="X288" s="4"/>
      <x:c r="Y288" s="4"/>
      <x:c r="Z288" s="4"/>
    </x:row>
    <x:row r="289" customFormat="false" ht="20" hidden="false" customHeight="true" outlineLevel="0" collapsed="false">
      <x:c r="A289" s="4"/>
      <x:c r="B289" s="5"/>
      <x:c r="C289" s="4"/>
      <x:c r="D289" s="4"/>
      <x:c r="E289" s="4"/>
      <x:c r="F289" s="4"/>
      <x:c r="G289" s="4"/>
      <x:c r="H289" s="4"/>
      <x:c r="I289" s="4"/>
      <x:c r="J289" s="4"/>
      <x:c r="K289" s="4"/>
      <x:c r="L289" s="4"/>
      <x:c r="M289" s="4"/>
      <x:c r="N289" s="4"/>
      <x:c r="O289" s="4"/>
      <x:c r="P289" s="4"/>
      <x:c r="Q289" s="4"/>
      <x:c r="R289" s="6"/>
      <x:c r="S289" s="4"/>
      <x:c r="T289" s="4"/>
      <x:c r="U289" s="6"/>
      <x:c r="V289" s="4"/>
      <x:c r="W289" s="4"/>
      <x:c r="X289" s="4"/>
      <x:c r="Y289" s="4"/>
      <x:c r="Z289" s="4"/>
    </x:row>
    <x:row r="290" customFormat="false" ht="20" hidden="false" customHeight="true" outlineLevel="0" collapsed="false">
      <x:c r="A290" s="4"/>
      <x:c r="B290" s="5"/>
      <x:c r="C290" s="4"/>
      <x:c r="D290" s="4"/>
      <x:c r="E290" s="4"/>
      <x:c r="F290" s="4"/>
      <x:c r="G290" s="4"/>
      <x:c r="H290" s="4"/>
      <x:c r="I290" s="4"/>
      <x:c r="J290" s="4"/>
      <x:c r="K290" s="4"/>
      <x:c r="L290" s="4"/>
      <x:c r="M290" s="4"/>
      <x:c r="N290" s="4"/>
      <x:c r="O290" s="4"/>
      <x:c r="P290" s="4"/>
      <x:c r="Q290" s="4"/>
      <x:c r="R290" s="6"/>
      <x:c r="S290" s="4"/>
      <x:c r="T290" s="4"/>
      <x:c r="U290" s="6"/>
      <x:c r="V290" s="4"/>
      <x:c r="W290" s="4"/>
      <x:c r="X290" s="4"/>
      <x:c r="Y290" s="4"/>
      <x:c r="Z290" s="4"/>
    </x:row>
    <x:row r="291" customFormat="false" ht="20" hidden="false" customHeight="true" outlineLevel="0" collapsed="false">
      <x:c r="A291" s="4"/>
      <x:c r="B291" s="5"/>
      <x:c r="C291" s="4"/>
      <x:c r="D291" s="4"/>
      <x:c r="E291" s="4"/>
      <x:c r="F291" s="4"/>
      <x:c r="G291" s="4"/>
      <x:c r="H291" s="4"/>
      <x:c r="I291" s="4"/>
      <x:c r="J291" s="4"/>
      <x:c r="K291" s="4"/>
      <x:c r="L291" s="4"/>
      <x:c r="M291" s="4"/>
      <x:c r="N291" s="4"/>
      <x:c r="O291" s="4"/>
      <x:c r="P291" s="4"/>
      <x:c r="Q291" s="4"/>
      <x:c r="R291" s="6"/>
      <x:c r="S291" s="4"/>
      <x:c r="T291" s="4"/>
      <x:c r="U291" s="6"/>
      <x:c r="V291" s="4"/>
      <x:c r="W291" s="4"/>
      <x:c r="X291" s="4"/>
      <x:c r="Y291" s="4"/>
      <x:c r="Z291" s="4"/>
    </x:row>
    <x:row r="292" customFormat="false" ht="20" hidden="false" customHeight="true" outlineLevel="0" collapsed="false">
      <x:c r="A292" s="4"/>
      <x:c r="B292" s="5"/>
      <x:c r="C292" s="4"/>
      <x:c r="D292" s="4"/>
      <x:c r="E292" s="4"/>
      <x:c r="F292" s="4"/>
      <x:c r="G292" s="4"/>
      <x:c r="H292" s="4"/>
      <x:c r="I292" s="4"/>
      <x:c r="J292" s="4"/>
      <x:c r="K292" s="4"/>
      <x:c r="L292" s="4"/>
      <x:c r="M292" s="4"/>
      <x:c r="N292" s="4"/>
      <x:c r="O292" s="4"/>
      <x:c r="P292" s="4"/>
      <x:c r="Q292" s="4"/>
      <x:c r="R292" s="6"/>
      <x:c r="S292" s="4"/>
      <x:c r="T292" s="4"/>
      <x:c r="U292" s="6"/>
      <x:c r="V292" s="4"/>
      <x:c r="W292" s="4"/>
      <x:c r="X292" s="4"/>
      <x:c r="Y292" s="4"/>
      <x:c r="Z292" s="4"/>
    </x:row>
    <x:row r="293" customFormat="false" ht="20" hidden="false" customHeight="true" outlineLevel="0" collapsed="false">
      <x:c r="A293" s="4"/>
      <x:c r="B293" s="5"/>
      <x:c r="C293" s="4"/>
      <x:c r="D293" s="4"/>
      <x:c r="E293" s="4"/>
      <x:c r="F293" s="4"/>
      <x:c r="G293" s="4"/>
      <x:c r="H293" s="4"/>
      <x:c r="I293" s="4"/>
      <x:c r="J293" s="4"/>
      <x:c r="K293" s="4"/>
      <x:c r="L293" s="4"/>
      <x:c r="M293" s="4"/>
      <x:c r="N293" s="4"/>
      <x:c r="O293" s="4"/>
      <x:c r="P293" s="4"/>
      <x:c r="Q293" s="4"/>
      <x:c r="R293" s="6"/>
      <x:c r="S293" s="4"/>
      <x:c r="T293" s="4"/>
      <x:c r="U293" s="6"/>
      <x:c r="V293" s="4"/>
      <x:c r="W293" s="4"/>
      <x:c r="X293" s="4"/>
      <x:c r="Y293" s="4"/>
      <x:c r="Z293" s="4"/>
    </x:row>
    <x:row r="294" customFormat="false" ht="20" hidden="false" customHeight="true" outlineLevel="0" collapsed="false">
      <x:c r="A294" s="4"/>
      <x:c r="B294" s="5"/>
      <x:c r="C294" s="4"/>
      <x:c r="D294" s="4"/>
      <x:c r="E294" s="4"/>
      <x:c r="F294" s="4"/>
      <x:c r="G294" s="4"/>
      <x:c r="H294" s="4"/>
      <x:c r="I294" s="4"/>
      <x:c r="J294" s="4"/>
      <x:c r="K294" s="4"/>
      <x:c r="L294" s="4"/>
      <x:c r="M294" s="4"/>
      <x:c r="N294" s="4"/>
      <x:c r="O294" s="4"/>
      <x:c r="P294" s="4"/>
      <x:c r="Q294" s="4"/>
      <x:c r="R294" s="6"/>
      <x:c r="S294" s="4"/>
      <x:c r="T294" s="4"/>
      <x:c r="U294" s="6"/>
      <x:c r="V294" s="4"/>
      <x:c r="W294" s="4"/>
      <x:c r="X294" s="4"/>
      <x:c r="Y294" s="4"/>
      <x:c r="Z294" s="4"/>
    </x:row>
    <x:row r="295" customFormat="false" ht="20" hidden="false" customHeight="true" outlineLevel="0" collapsed="false">
      <x:c r="A295" s="4"/>
      <x:c r="B295" s="5"/>
      <x:c r="C295" s="4"/>
      <x:c r="D295" s="4"/>
      <x:c r="E295" s="4"/>
      <x:c r="F295" s="4"/>
      <x:c r="G295" s="4"/>
      <x:c r="H295" s="4"/>
      <x:c r="I295" s="4"/>
      <x:c r="J295" s="4"/>
      <x:c r="K295" s="4"/>
      <x:c r="L295" s="4"/>
      <x:c r="M295" s="4"/>
      <x:c r="N295" s="4"/>
      <x:c r="O295" s="4"/>
      <x:c r="P295" s="4"/>
      <x:c r="Q295" s="4"/>
      <x:c r="R295" s="6"/>
      <x:c r="S295" s="4"/>
      <x:c r="T295" s="4"/>
      <x:c r="U295" s="6"/>
      <x:c r="V295" s="4"/>
      <x:c r="W295" s="4"/>
      <x:c r="X295" s="4"/>
      <x:c r="Y295" s="4"/>
      <x:c r="Z295" s="4"/>
    </x:row>
    <x:row r="296" customFormat="false" ht="20" hidden="false" customHeight="true" outlineLevel="0" collapsed="false">
      <x:c r="A296" s="4"/>
      <x:c r="B296" s="5"/>
      <x:c r="C296" s="4"/>
      <x:c r="D296" s="4"/>
      <x:c r="E296" s="4"/>
      <x:c r="F296" s="4"/>
      <x:c r="G296" s="4"/>
      <x:c r="H296" s="4"/>
      <x:c r="I296" s="4"/>
      <x:c r="J296" s="4"/>
      <x:c r="K296" s="4"/>
      <x:c r="L296" s="4"/>
      <x:c r="M296" s="4"/>
      <x:c r="N296" s="4"/>
      <x:c r="O296" s="4"/>
      <x:c r="P296" s="4"/>
      <x:c r="Q296" s="4"/>
      <x:c r="R296" s="6"/>
      <x:c r="S296" s="4"/>
      <x:c r="T296" s="4"/>
      <x:c r="U296" s="6"/>
      <x:c r="V296" s="4"/>
      <x:c r="W296" s="4"/>
      <x:c r="X296" s="4"/>
      <x:c r="Y296" s="4"/>
      <x:c r="Z296" s="4"/>
    </x:row>
    <x:row r="297" customFormat="false" ht="20" hidden="false" customHeight="true" outlineLevel="0" collapsed="false">
      <x:c r="A297" s="4"/>
      <x:c r="B297" s="5"/>
      <x:c r="C297" s="4"/>
      <x:c r="D297" s="4"/>
      <x:c r="E297" s="4"/>
      <x:c r="F297" s="4"/>
      <x:c r="G297" s="4"/>
      <x:c r="H297" s="4"/>
      <x:c r="I297" s="4"/>
      <x:c r="J297" s="4"/>
      <x:c r="K297" s="4"/>
      <x:c r="L297" s="4"/>
      <x:c r="M297" s="4"/>
      <x:c r="N297" s="4"/>
      <x:c r="O297" s="4"/>
      <x:c r="P297" s="4"/>
      <x:c r="Q297" s="4"/>
      <x:c r="R297" s="6"/>
      <x:c r="S297" s="4"/>
      <x:c r="T297" s="4"/>
      <x:c r="U297" s="6"/>
      <x:c r="V297" s="4"/>
      <x:c r="W297" s="4"/>
      <x:c r="X297" s="4"/>
      <x:c r="Y297" s="4"/>
      <x:c r="Z297" s="4"/>
    </x:row>
    <x:row r="298" customFormat="false" ht="20" hidden="false" customHeight="true" outlineLevel="0" collapsed="false">
      <x:c r="A298" s="4"/>
      <x:c r="B298" s="5"/>
      <x:c r="C298" s="4"/>
      <x:c r="D298" s="4"/>
      <x:c r="E298" s="4"/>
      <x:c r="F298" s="4"/>
      <x:c r="G298" s="4"/>
      <x:c r="H298" s="4"/>
      <x:c r="I298" s="4"/>
      <x:c r="J298" s="4"/>
      <x:c r="K298" s="4"/>
      <x:c r="L298" s="4"/>
      <x:c r="M298" s="4"/>
      <x:c r="N298" s="4"/>
      <x:c r="O298" s="4"/>
      <x:c r="P298" s="4"/>
      <x:c r="Q298" s="4"/>
      <x:c r="R298" s="6"/>
      <x:c r="S298" s="4"/>
      <x:c r="T298" s="4"/>
      <x:c r="U298" s="6"/>
      <x:c r="V298" s="4"/>
      <x:c r="W298" s="4"/>
      <x:c r="X298" s="4"/>
      <x:c r="Y298" s="4"/>
      <x:c r="Z298" s="4"/>
    </x:row>
    <x:row r="299" customFormat="false" ht="20" hidden="false" customHeight="true" outlineLevel="0" collapsed="false">
      <x:c r="A299" s="4"/>
      <x:c r="B299" s="5"/>
      <x:c r="C299" s="4"/>
      <x:c r="D299" s="4"/>
      <x:c r="E299" s="4"/>
      <x:c r="F299" s="4"/>
      <x:c r="G299" s="4"/>
      <x:c r="H299" s="4"/>
      <x:c r="I299" s="4"/>
      <x:c r="J299" s="4"/>
      <x:c r="K299" s="4"/>
      <x:c r="L299" s="4"/>
      <x:c r="M299" s="4"/>
      <x:c r="N299" s="4"/>
      <x:c r="O299" s="4"/>
      <x:c r="P299" s="4"/>
      <x:c r="Q299" s="4"/>
      <x:c r="R299" s="6"/>
      <x:c r="S299" s="4"/>
      <x:c r="T299" s="4"/>
      <x:c r="U299" s="6"/>
      <x:c r="V299" s="4"/>
      <x:c r="W299" s="4"/>
      <x:c r="X299" s="4"/>
      <x:c r="Y299" s="4"/>
      <x:c r="Z299" s="4"/>
    </x:row>
    <x:row r="300" customFormat="false" ht="20" hidden="false" customHeight="true" outlineLevel="0" collapsed="false">
      <x:c r="A300" s="4"/>
      <x:c r="B300" s="5"/>
      <x:c r="C300" s="4"/>
      <x:c r="D300" s="4"/>
      <x:c r="E300" s="4"/>
      <x:c r="F300" s="4"/>
      <x:c r="G300" s="4"/>
      <x:c r="H300" s="4"/>
      <x:c r="I300" s="4"/>
      <x:c r="J300" s="4"/>
      <x:c r="K300" s="4"/>
      <x:c r="L300" s="4"/>
      <x:c r="M300" s="4"/>
      <x:c r="N300" s="4"/>
      <x:c r="O300" s="4"/>
      <x:c r="P300" s="4"/>
      <x:c r="Q300" s="4"/>
      <x:c r="R300" s="6"/>
      <x:c r="S300" s="4"/>
      <x:c r="T300" s="4"/>
      <x:c r="U300" s="6"/>
      <x:c r="V300" s="4"/>
      <x:c r="W300" s="4"/>
      <x:c r="X300" s="4"/>
      <x:c r="Y300" s="4"/>
      <x:c r="Z300" s="4"/>
    </x:row>
  </x:sheetData>
  <x:mergeCells count="2">
    <x:mergeCell ref="A1:Z1"/>
    <x:mergeCell ref="A2:Z2"/>
  </x:mergeCells>
  <x:conditionalFormatting sqref="A4:A300">
    <x:cfRule type="containsText" priority="2" operator="containsText" aboveAverage="0" equalAverage="0" bottom="0" percent="0" rank="0" text="Done" dxfId="10">
      <x:formula>NOT(ISERROR(SEARCH("Done",A4)))</x:formula>
    </x:cfRule>
    <x:cfRule type="containsText" priority="3" operator="containsText" aboveAverage="0" equalAverage="0" bottom="0" percent="0" rank="0" text="In progress" dxfId="11">
      <x:formula>NOT(ISERROR(SEARCH("In progress",A4)))</x:formula>
    </x:cfRule>
    <x:cfRule type="containsText" priority="4" operator="containsText" aboveAverage="0" equalAverage="0" bottom="0" percent="0" rank="0" text="N/A" dxfId="12">
      <x:formula>NOT(ISERROR(SEARCH("N/A",A4)))</x:formula>
    </x:cfRule>
  </x:conditionalFormatting>
  <x:conditionalFormatting sqref="J4:J300">
    <x:cfRule type="containsText" priority="5" operator="containsText" aboveAverage="0" equalAverage="0" bottom="0" percent="0" rank="0" text="Pattern adaptation" dxfId="13">
      <x:formula>NOT(ISERROR(SEARCH("Pattern adaptation",J4)))</x:formula>
    </x:cfRule>
    <x:cfRule type="containsText" priority="6" operator="containsText" aboveAverage="0" equalAverage="0" bottom="0" percent="0" rank="0" text="Sensor-specific" dxfId="14">
      <x:formula>NOT(ISERROR(SEARCH("Sensor-specific",J4)))</x:formula>
    </x:cfRule>
  </x:conditionalFormatting>
  <x:conditionalFormatting sqref="G4:G300">
    <x:cfRule type="containsText" priority="7" operator="containsText" aboveAverage="0" equalAverage="0" bottom="0" percent="0" rank="0" text="P0" dxfId="15">
      <x:formula>NOT(ISERROR(SEARCH("P0",G4)))</x:formula>
    </x:cfRule>
  </x:conditionalFormatting>
  <x:dataValidations count="6">
    <x:dataValidation allowBlank="false" errorStyle="stop" operator="between" showDropDown="false" showErrorMessage="false" showInputMessage="false" sqref="A4:A300" type="list">
      <x:formula1>'Read Me'!$D$5:$D$8</x:formula1>
      <x:formula2>0</x:formula2>
    </x:dataValidation>
    <x:dataValidation allowBlank="false" errorStyle="stop" operator="between" showDropDown="false" showErrorMessage="false" showInputMessage="false" sqref="D4:D300" type="list">
      <x:formula1>'Read Me'!$E$5:$E$9</x:formula1>
      <x:formula2>0</x:formula2>
    </x:dataValidation>
    <x:dataValidation allowBlank="false" errorStyle="stop" operator="between" showDropDown="false" showErrorMessage="false" showInputMessage="false" sqref="E4:E300" type="list">
      <x:formula1>'Read Me'!$F$5:$F$7</x:formula1>
      <x:formula2>0</x:formula2>
    </x:dataValidation>
    <x:dataValidation allowBlank="false" errorStyle="stop" operator="between" showDropDown="false" showErrorMessage="false" showInputMessage="false" sqref="G4:G300" type="list">
      <x:formula1>'Read Me'!$G$5:$G$7</x:formula1>
      <x:formula2>0</x:formula2>
    </x:dataValidation>
    <x:dataValidation allowBlank="false" errorStyle="stop" operator="between" showDropDown="false" showErrorMessage="false" showInputMessage="false" sqref="H4:H300" type="list">
      <x:formula1>'Read Me'!$H$5:$H$8</x:formula1>
      <x:formula2>0</x:formula2>
    </x:dataValidation>
    <x:dataValidation allowBlank="false" errorStyle="stop" operator="between" showDropDown="false" showErrorMessage="false" showInputMessage="false" sqref="J4:J300" type="list">
      <x:formula1>'Read Me'!$I$5:$I$7</x:formula1>
      <x:formula2>0</x:formula2>
    </x:dataValidation>
  </x:dataValidations>
  <x:hyperlinks>
    <x:hyperlink ref="R4" r:id="rIdHyperlink1"/>
    <x:hyperlink ref="R5" r:id="rIdHyperlink2"/>
    <x:hyperlink ref="R6" r:id="rIdHyperlink3"/>
    <x:hyperlink ref="R7" r:id="rIdHyperlink4"/>
    <x:hyperlink ref="U7" r:id="rIdHyperlink5"/>
    <x:hyperlink ref="R8" r:id="rIdHyperlink6"/>
    <x:hyperlink ref="U8" r:id="rIdHyperlink7"/>
    <x:hyperlink ref="R9" r:id="rIdHyperlink8"/>
    <x:hyperlink ref="R10" r:id="rIdHyperlink9"/>
    <x:hyperlink ref="U10" r:id="rIdHyperlink10"/>
    <x:hyperlink ref="R11" r:id="rIdHyperlink11"/>
    <x:hyperlink ref="U11" r:id="rIdHyperlink12"/>
    <x:hyperlink ref="R12" r:id="rIdHyperlink13"/>
    <x:hyperlink ref="U12" r:id="rIdHyperlink14"/>
    <x:hyperlink ref="R13" r:id="rIdHyperlink15"/>
    <x:hyperlink ref="U13" r:id="rIdHyperlink16"/>
    <x:hyperlink ref="R14" r:id="rIdHyperlink17"/>
    <x:hyperlink ref="U14" r:id="rIdHyperlink18"/>
    <x:hyperlink ref="R15" r:id="rIdHyperlink19"/>
    <x:hyperlink ref="R16" r:id="rIdHyperlink20"/>
    <x:hyperlink ref="U16" r:id="rIdHyperlink21"/>
    <x:hyperlink ref="R17" r:id="rIdHyperlink22"/>
    <x:hyperlink ref="R18" r:id="rIdHyperlink23"/>
    <x:hyperlink ref="U18" r:id="rIdHyperlink24"/>
    <x:hyperlink ref="R19" r:id="rIdHyperlink25"/>
    <x:hyperlink ref="U19" r:id="rIdHyperlink26"/>
    <x:hyperlink ref="R20" r:id="rIdHyperlink27"/>
    <x:hyperlink ref="R21" r:id="rIdHyperlink28"/>
    <x:hyperlink ref="R22" r:id="rIdHyperlink29"/>
    <x:hyperlink ref="R23" r:id="rIdHyperlink30"/>
    <x:hyperlink ref="U23" r:id="rIdHyperlink31"/>
    <x:hyperlink ref="R24" r:id="rIdHyperlink32"/>
    <x:hyperlink ref="R25" r:id="rIdHyperlink33"/>
    <x:hyperlink ref="R26" r:id="rIdHyperlink34"/>
    <x:hyperlink ref="R27" r:id="rIdHyperlink35"/>
    <x:hyperlink ref="R28" r:id="rIdHyperlink36"/>
    <x:hyperlink ref="R29" r:id="rIdHyperlink37"/>
    <x:hyperlink ref="R30" r:id="rIdHyperlink38"/>
    <x:hyperlink ref="R31" r:id="rIdHyperlink39"/>
    <x:hyperlink ref="R32" r:id="rIdHyperlink40"/>
    <x:hyperlink ref="U32" r:id="rIdHyperlink41"/>
    <x:hyperlink ref="R33" r:id="rIdHyperlink42"/>
    <x:hyperlink ref="U33" r:id="rIdHyperlink43"/>
    <x:hyperlink ref="R34" r:id="rIdHyperlink44"/>
    <x:hyperlink ref="U34" r:id="rIdHyperlink45"/>
    <x:hyperlink ref="R35" r:id="rIdHyperlink46"/>
    <x:hyperlink ref="U35" r:id="rIdHyperlink47"/>
    <x:hyperlink ref="R36" r:id="rIdHyperlink48"/>
    <x:hyperlink ref="R37" r:id="rIdHyperlink49"/>
    <x:hyperlink ref="R38" r:id="rIdHyperlink50"/>
    <x:hyperlink ref="R39" r:id="rIdHyperlink51"/>
    <x:hyperlink ref="R40" r:id="rIdHyperlink52"/>
    <x:hyperlink ref="U40" r:id="rIdHyperlink53"/>
    <x:hyperlink ref="R41" r:id="rIdHyperlink54"/>
    <x:hyperlink ref="R42" r:id="rIdHyperlink55"/>
    <x:hyperlink ref="R43" r:id="rIdHyperlink56"/>
    <x:hyperlink ref="R44" r:id="rIdHyperlink57"/>
    <x:hyperlink ref="R45" r:id="rIdHyperlink58"/>
    <x:hyperlink ref="R46" r:id="rIdHyperlink59"/>
    <x:hyperlink ref="U46" r:id="rIdHyperlink60"/>
    <x:hyperlink ref="R47" r:id="rIdHyperlink61"/>
    <x:hyperlink ref="R48" r:id="rIdHyperlink62"/>
    <x:hyperlink ref="R49" r:id="rIdHyperlink63"/>
    <x:hyperlink ref="U49" r:id="rIdHyperlink64"/>
    <x:hyperlink ref="R50" r:id="rIdHyperlink65"/>
    <x:hyperlink ref="U50" r:id="rIdHyperlink66"/>
    <x:hyperlink ref="R51" r:id="rIdHyperlink67"/>
    <x:hyperlink ref="R52" r:id="rIdHyperlink68"/>
    <x:hyperlink ref="U52" r:id="rIdHyperlink69"/>
    <x:hyperlink ref="R53" r:id="rIdHyperlink70"/>
    <x:hyperlink ref="R54" r:id="rIdHyperlink71"/>
    <x:hyperlink ref="U54" r:id="rIdHyperlink72"/>
    <x:hyperlink ref="R55" r:id="rIdHyperlink73"/>
    <x:hyperlink ref="R56" r:id="rIdHyperlink74"/>
    <x:hyperlink ref="R57" r:id="rIdHyperlink75"/>
    <x:hyperlink ref="R58" r:id="rIdHyperlink76"/>
    <x:hyperlink ref="R59" r:id="rIdHyperlink77"/>
    <x:hyperlink ref="R60" r:id="rIdHyperlink78"/>
    <x:hyperlink ref="R61" r:id="rIdHyperlink79"/>
    <x:hyperlink ref="R62" r:id="rIdHyperlink80"/>
    <x:hyperlink ref="R63" r:id="rIdHyperlink81"/>
    <x:hyperlink ref="U63" r:id="rIdHyperlink82"/>
    <x:hyperlink ref="R64" r:id="rIdHyperlink83"/>
    <x:hyperlink ref="R65" r:id="rIdHyperlink84"/>
    <x:hyperlink ref="R66" r:id="rIdHyperlink85"/>
    <x:hyperlink ref="R67" r:id="rIdHyperlink86"/>
    <x:hyperlink ref="U67" r:id="rIdHyperlink87"/>
    <x:hyperlink ref="R68" r:id="rIdHyperlink88"/>
    <x:hyperlink ref="R69" r:id="rIdHyperlink89"/>
    <x:hyperlink ref="R70" r:id="rIdHyperlink90"/>
    <x:hyperlink ref="R71" r:id="rIdHyperlink91"/>
    <x:hyperlink ref="R72" r:id="rIdHyperlink92"/>
    <x:hyperlink ref="R73" r:id="rIdHyperlink93"/>
    <x:hyperlink ref="U73" r:id="rIdHyperlink94"/>
    <x:hyperlink ref="R74" r:id="rIdHyperlink95"/>
    <x:hyperlink ref="U74" r:id="rIdHyperlink96"/>
    <x:hyperlink ref="R75" r:id="rIdHyperlink97"/>
    <x:hyperlink ref="U75" r:id="rIdHyperlink98"/>
    <x:hyperlink ref="R76" r:id="rIdHyperlink99"/>
    <x:hyperlink ref="U76" r:id="rIdHyperlink100"/>
    <x:hyperlink ref="R77" r:id="rIdHyperlink101"/>
    <x:hyperlink ref="R78" r:id="rIdHyperlink102"/>
    <x:hyperlink ref="R79" r:id="rIdHyperlink103"/>
    <x:hyperlink ref="R80" r:id="rIdHyperlink104"/>
    <x:hyperlink ref="R81" r:id="rIdHyperlink105"/>
    <x:hyperlink ref="R82" r:id="rIdHyperlink106"/>
    <x:hyperlink ref="R83" r:id="rIdHyperlink107"/>
    <x:hyperlink ref="R84" r:id="rIdHyperlink108"/>
    <x:hyperlink ref="R85" r:id="rIdHyperlink109"/>
    <x:hyperlink ref="R86" r:id="rIdHyperlink110"/>
    <x:hyperlink ref="R87" r:id="rIdHyperlink111"/>
    <x:hyperlink ref="R88" r:id="rIdHyperlink112"/>
    <x:hyperlink ref="R89" r:id="rIdHyperlink113"/>
    <x:hyperlink ref="R90" r:id="rIdHyperlink114"/>
    <x:hyperlink ref="R91" r:id="rIdHyperlink115"/>
    <x:hyperlink ref="R92" r:id="rIdHyperlink116"/>
    <x:hyperlink ref="U92" r:id="rIdHyperlink117"/>
    <x:hyperlink ref="R93" r:id="rIdHyperlink118"/>
    <x:hyperlink ref="R94" r:id="rIdHyperlink119"/>
    <x:hyperlink ref="U94" r:id="rIdHyperlink120"/>
    <x:hyperlink ref="R95" r:id="rIdHyperlink121"/>
    <x:hyperlink ref="R96" r:id="rIdHyperlink122"/>
    <x:hyperlink ref="R97" r:id="rIdHyperlink123"/>
    <x:hyperlink ref="R98" r:id="rIdHyperlink124"/>
    <x:hyperlink ref="R99" r:id="rIdHyperlink125"/>
    <x:hyperlink ref="R100" r:id="rIdHyperlink126"/>
    <x:hyperlink ref="R101" r:id="rIdHyperlink127"/>
    <x:hyperlink ref="U101" r:id="rIdHyperlink128"/>
    <x:hyperlink ref="R102" r:id="rIdHyperlink129"/>
    <x:hyperlink ref="U102" r:id="rIdHyperlink130"/>
    <x:hyperlink ref="R103" r:id="rIdHyperlink131"/>
    <x:hyperlink ref="R104" r:id="rIdHyperlink132"/>
    <x:hyperlink ref="R105" r:id="rIdHyperlink133"/>
    <x:hyperlink ref="U105" r:id="rIdHyperlink134"/>
    <x:hyperlink ref="R106" r:id="rIdHyperlink135"/>
    <x:hyperlink ref="U106" r:id="rIdHyperlink136"/>
    <x:hyperlink ref="R107" r:id="rIdHyperlink137"/>
    <x:hyperlink ref="R108" r:id="rIdHyperlink138"/>
    <x:hyperlink ref="U108" r:id="rIdHyperlink139"/>
    <x:hyperlink ref="R109" r:id="rIdHyperlink140"/>
    <x:hyperlink ref="R110" r:id="rIdHyperlink141"/>
    <x:hyperlink ref="U110" r:id="rIdHyperlink142"/>
    <x:hyperlink ref="R111" r:id="rIdHyperlink143"/>
    <x:hyperlink ref="U111" r:id="rIdHyperlink144"/>
    <x:hyperlink ref="R112" r:id="rIdHyperlink145"/>
    <x:hyperlink ref="R113" r:id="rIdHyperlink146"/>
    <x:hyperlink ref="U113" r:id="rIdHyperlink147"/>
    <x:hyperlink ref="R114" r:id="rIdHyperlink148"/>
    <x:hyperlink ref="R115" r:id="rIdHyperlink149"/>
    <x:hyperlink ref="U115" r:id="rIdHyperlink150"/>
    <x:hyperlink ref="R116" r:id="rIdHyperlink151"/>
    <x:hyperlink ref="R117" r:id="rIdHyperlink152"/>
    <x:hyperlink ref="U117" r:id="rIdHyperlink153"/>
    <x:hyperlink ref="R118" r:id="rIdHyperlink154"/>
    <x:hyperlink ref="U118" r:id="rIdHyperlink155"/>
    <x:hyperlink ref="R119" r:id="rIdHyperlink156"/>
    <x:hyperlink ref="U119" r:id="rIdHyperlink157"/>
    <x:hyperlink ref="R120" r:id="rIdHyperlink158"/>
    <x:hyperlink ref="U120" r:id="rIdHyperlink159"/>
    <x:hyperlink ref="R121" r:id="rIdHyperlink160"/>
    <x:hyperlink ref="U121" r:id="rIdHyperlink161"/>
    <x:hyperlink ref="R122" r:id="rIdHyperlink162"/>
    <x:hyperlink ref="U122" r:id="rIdHyperlink163"/>
    <x:hyperlink ref="R123" r:id="rIdHyperlink164"/>
    <x:hyperlink ref="U123" r:id="rIdHyperlink165"/>
    <x:hyperlink ref="R124" r:id="rIdHyperlink166"/>
    <x:hyperlink ref="U124" r:id="rIdHyperlink167"/>
    <x:hyperlink ref="R125" r:id="rIdHyperlink168"/>
    <x:hyperlink ref="U125" r:id="rIdHyperlink169"/>
    <x:hyperlink ref="R126" r:id="rIdHyperlink170"/>
    <x:hyperlink ref="U126" r:id="rIdHyperlink171"/>
    <x:hyperlink ref="R127" r:id="rIdHyperlink172"/>
    <x:hyperlink ref="U127" r:id="rIdHyperlink173"/>
    <x:hyperlink ref="R128" r:id="rIdHyperlink174"/>
    <x:hyperlink ref="U128" r:id="rIdHyperlink175"/>
    <x:hyperlink ref="R129" r:id="rIdHyperlink176"/>
    <x:hyperlink ref="U129" r:id="rIdHyperlink177"/>
    <x:hyperlink ref="R130" r:id="rIdHyperlink178"/>
    <x:hyperlink ref="U130" r:id="rIdHyperlink179"/>
    <x:hyperlink ref="R131" r:id="rIdHyperlink180"/>
    <x:hyperlink ref="U131" r:id="rIdHyperlink181"/>
    <x:hyperlink ref="R132" r:id="rIdHyperlink182"/>
    <x:hyperlink ref="U132" r:id="rIdHyperlink183"/>
    <x:hyperlink ref="R133" r:id="rIdHyperlink184"/>
    <x:hyperlink ref="U133" r:id="rIdHyperlink185"/>
    <x:hyperlink ref="R134" r:id="rIdHyperlink186"/>
    <x:hyperlink ref="U134" r:id="rIdHyperlink187"/>
    <x:hyperlink ref="R135" r:id="rIdHyperlink188"/>
    <x:hyperlink ref="U135" r:id="rIdHyperlink189"/>
    <x:hyperlink ref="R136" r:id="rIdHyperlink190"/>
    <x:hyperlink ref="U136" r:id="rIdHyperlink191"/>
    <x:hyperlink ref="R137" r:id="rIdHyperlink192"/>
    <x:hyperlink ref="U137" r:id="rIdHyperlink193"/>
    <x:hyperlink ref="R138" r:id="rIdHyperlink194"/>
    <x:hyperlink ref="U138" r:id="rIdHyperlink195"/>
    <x:hyperlink ref="R139" r:id="rIdHyperlink196"/>
    <x:hyperlink ref="U139" r:id="rIdHyperlink197"/>
    <x:hyperlink ref="R140" r:id="rIdHyperlink198"/>
    <x:hyperlink ref="U140" r:id="rIdHyperlink199"/>
    <x:hyperlink ref="R141" r:id="rIdHyperlink200"/>
    <x:hyperlink ref="U141" r:id="rIdHyperlink201"/>
    <x:hyperlink ref="R142" r:id="rIdHyperlink202"/>
    <x:hyperlink ref="U142" r:id="rIdHyperlink203"/>
    <x:hyperlink ref="R143" r:id="rIdHyperlink204"/>
    <x:hyperlink ref="U143" r:id="rIdHyperlink205"/>
    <x:hyperlink ref="R144" r:id="rIdHyperlink206"/>
    <x:hyperlink ref="U144" r:id="rIdHyperlink207"/>
    <x:hyperlink ref="R145" r:id="rIdHyperlink208"/>
    <x:hyperlink ref="U145" r:id="rIdHyperlink209"/>
    <x:hyperlink ref="R146" r:id="rIdHyperlink210"/>
    <x:hyperlink ref="U146" r:id="rIdHyperlink211"/>
    <x:hyperlink ref="R147" r:id="rIdHyperlink212"/>
    <x:hyperlink ref="U147" r:id="rIdHyperlink213"/>
    <x:hyperlink ref="R148" r:id="rIdHyperlink214"/>
    <x:hyperlink ref="U148" r:id="rIdHyperlink215"/>
    <x:hyperlink ref="R149" r:id="rIdHyperlink216"/>
    <x:hyperlink ref="U149" r:id="rIdHyperlink217"/>
    <x:hyperlink ref="R150" r:id="rIdHyperlink218"/>
    <x:hyperlink ref="U150" r:id="rIdHyperlink219"/>
    <x:hyperlink ref="R151" r:id="rIdHyperlink220"/>
    <x:hyperlink ref="U151" r:id="rIdHyperlink221"/>
    <x:hyperlink ref="R152" r:id="rIdHyperlink222"/>
    <x:hyperlink ref="U152" r:id="rIdHyperlink223"/>
    <x:hyperlink ref="R153" r:id="rIdHyperlink224"/>
    <x:hyperlink ref="U153" r:id="rIdHyperlink225"/>
    <x:hyperlink ref="R154" r:id="rIdHyperlink226"/>
    <x:hyperlink ref="U154" r:id="rIdHyperlink227"/>
  </x:hyperlinks>
  <x:printOptions headings="false" gridLines="false" gridLinesSet="true" horizontalCentered="false" verticalCentered="false"/>
  <x:pageMargins left="0.7" right="0.7" top="0.75" bottom="0.75"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tableParts>
    <x:tablePart r:id="rId228"/>
  </x:tableParts>
</x:worksheet>
</file>

<file path=xl/worksheets/sheet2.xml><?xml version="1.0" encoding="utf-8"?>
<x:worksheet xmlns:ns1="http://schemas.microsoft.com/office/spreadsheetml/2009/9/main" xmlns:ns2="http://schemas.microsoft.com/office/excel/2006/main" xmlns:x="http://schemas.openxmlformats.org/spreadsheetml/2006/main">
  <x:sheetPr filterMode="false">
    <x:pageSetUpPr fitToPage="false"/>
  </x:sheetPr>
  <x:dimension ref="A1:J34"/>
  <x:sheetViews>
    <x:sheetView showFormulas="false" showGridLines="false" showRowColHeaders="true" showZeros="true" rightToLeft="false" tabSelected="false" showOutlineSymbols="true" defaultGridColor="true" view="normal" topLeftCell="A1" colorId="64" zoomScale="100" zoomScaleNormal="100" zoomScalePageLayoutView="100" workbookViewId="0">
      <x:pane topLeftCell="A8" activePane="bottomLeft" state="frozen" ySplit="7"/>
      <x:selection pane="topLeft" activeCell="A1" activeCellId="0" sqref="A1"/>
      <x:selection pane="bottomLeft" activeCell="A1" activeCellId="0" sqref="A1"/>
    </x:sheetView>
  </x:sheetViews>
  <x:sheetFormatPr defaultColWidth="8.6796875" defaultRowHeight="15" customHeight="false" zeroHeight="false" outlineLevelRow="0" outlineLevelCol="0"/>
  <x:cols>
    <x:col collapsed="false" customWidth="true" hidden="false" outlineLevel="0" max="1" min="1" style="0" width="43"/>
    <x:col collapsed="false" customWidth="true" hidden="false" outlineLevel="0" max="10" min="2" style="0" width="16"/>
  </x:cols>
  <x:sheetData>
    <x:row r="1" customFormat="false" ht="30" hidden="false" customHeight="true" outlineLevel="0" collapsed="false">
      <x:c r="A1" s="1" t="s">
        <x:v>1251</x:v>
      </x:c>
      <x:c r="B1" s="1"/>
      <x:c r="C1" s="1"/>
      <x:c r="D1" s="1"/>
      <x:c r="E1" s="1"/>
      <x:c r="F1" s="1"/>
      <x:c r="G1" s="1"/>
      <x:c r="H1" s="1"/>
      <x:c r="I1" s="1"/>
      <x:c r="J1" s="1"/>
    </x:row>
    <x:row r="2" customFormat="false" ht="38" hidden="false" customHeight="true" outlineLevel="0" collapsed="false">
      <x:c r="A2" s="2" t="s">
        <x:v>1252</x:v>
      </x:c>
      <x:c r="B2" s="2"/>
      <x:c r="C2" s="2"/>
      <x:c r="D2" s="2"/>
      <x:c r="E2" s="2"/>
      <x:c r="F2" s="2"/>
      <x:c r="G2" s="2"/>
      <x:c r="H2" s="2"/>
      <x:c r="I2" s="2"/>
      <x:c r="J2" s="2"/>
    </x:row>
    <x:row r="3" customFormat="false" ht="34" hidden="false" customHeight="true" outlineLevel="0" collapsed="false">
      <x:c r="A3" s="7" t="s">
        <x:v>1253</x:v>
      </x:c>
      <x:c r="B3" s="7" t="n">
        <x:f aca="false">COUNTIF(Checklist!$B$4:$B$300,"&lt;&gt;")</x:f>
        <x:v>151</x:v>
      </x:c>
      <x:c r="C3" s="7" t="s">
        <x:v>1254</x:v>
      </x:c>
      <x:c r="D3" s="7" t="n">
        <x:f aca="false">B3-COUNTIF(Checklist!$A$4:$A$300,"N/A")</x:f>
        <x:v>151</x:v>
      </x:c>
      <x:c r="E3" s="7" t="s">
        <x:v>1255</x:v>
      </x:c>
      <x:c r="F3" s="7" t="n">
        <x:f aca="false">COUNTIF(Checklist!$A$4:$A$300,"Done")</x:f>
        <x:v>0</x:v>
      </x:c>
      <x:c r="G3" s="7" t="s">
        <x:v>1256</x:v>
      </x:c>
      <x:c r="H3" s="8" t="n">
        <x:f aca="false">IF(D3=0,0,F3/D3)</x:f>
        <x:v>0</x:v>
      </x:c>
      <x:c r="I3" s="7" t="s">
        <x:v>1257</x:v>
      </x:c>
      <x:c r="J3" s="7" t="n">
        <x:f aca="false">COUNTIF(Checklist!$A$4:$A$300,"N/A")</x:f>
        <x:v>0</x:v>
      </x:c>
    </x:row>
    <x:row r="4" customFormat="false" ht="34" hidden="false" customHeight="true" outlineLevel="0" collapsed="false">
      <x:c r="A4" s="7" t="s">
        <x:v>28</x:v>
      </x:c>
      <x:c r="B4" s="7" t="n">
        <x:f aca="false">COUNTIF(Checklist!$A$4:$A$300,"Not started")</x:f>
        <x:v>151</x:v>
      </x:c>
      <x:c r="C4" s="7" t="s">
        <x:v>1258</x:v>
      </x:c>
      <x:c r="D4" s="7" t="n">
        <x:f aca="false">COUNTIF(Checklist!$A$4:$A$300,"In progress")</x:f>
        <x:v>0</x:v>
      </x:c>
      <x:c r="E4" s="7" t="s">
        <x:v>1259</x:v>
      </x:c>
      <x:c r="F4" s="7" t="n">
        <x:f aca="false">COUNTIFS(Checklist!$B$4:$B$300,"&lt;&gt;",Checklist!$R$4:$R$300,"&lt;&gt;")</x:f>
        <x:v>151</x:v>
      </x:c>
      <x:c r="G4" s="7" t="s">
        <x:v>37</x:v>
      </x:c>
      <x:c r="H4" s="7" t="n">
        <x:f aca="false">COUNTIF(Checklist!$J$4:$J$300,"Direct")</x:f>
        <x:v>129</x:v>
      </x:c>
      <x:c r="I4" s="7" t="s">
        <x:v>113</x:v>
      </x:c>
      <x:c r="J4" s="7" t="n">
        <x:f aca="false">COUNTIF(Checklist!$J$4:$J$300,"Sensor-specific")</x:f>
        <x:v>8</x:v>
      </x:c>
    </x:row>
    <x:row r="5" customFormat="false" ht="34" hidden="false" customHeight="true" outlineLevel="0" collapsed="false">
      <x:c r="A5" s="7" t="s">
        <x:v>1260</x:v>
      </x:c>
      <x:c r="B5" s="7" t="n">
        <x:f aca="false">COUNTIFS(Checklist!$B$4:$B$300,"&lt;&gt;",Checklist!$X$4:$X$300,"")</x:f>
        <x:v>151</x:v>
      </x:c>
      <x:c r="C5" s="7" t="s">
        <x:v>1261</x:v>
      </x:c>
      <x:c r="D5" s="7" t="n">
        <x:f aca="false">COUNTIFS(Checklist!$B$4:$B$300,"&lt;&gt;",Checklist!$V$4:$V$300,"&lt;&gt;None")</x:f>
        <x:v>19</x:v>
      </x:c>
      <x:c r="E5" s="7" t="s">
        <x:v>1262</x:v>
      </x:c>
      <x:c r="F5" s="7" t="n">
        <x:f aca="false">COUNTIFS(Checklist!$B$4:$B$300,"&lt;&gt;",Checklist!$W$4:$W$300,"*review*")</x:f>
        <x:v>149</x:v>
      </x:c>
      <x:c r="G5" s="7"/>
      <x:c r="H5" s="7"/>
      <x:c r="I5" s="7"/>
      <x:c r="J5" s="7"/>
    </x:row>
    <x:row r="7" customFormat="false" ht="16.4" hidden="false" customHeight="false" outlineLevel="0" collapsed="false">
      <x:c r="A7" s="9" t="s">
        <x:v>5</x:v>
      </x:c>
      <x:c r="B7" s="9" t="s">
        <x:v>1263</x:v>
      </x:c>
      <x:c r="C7" s="9" t="s">
        <x:v>1255</x:v>
      </x:c>
      <x:c r="D7" s="9" t="s">
        <x:v>1257</x:v>
      </x:c>
      <x:c r="E7" s="9" t="s">
        <x:v>1254</x:v>
      </x:c>
      <x:c r="F7" s="9" t="s">
        <x:v>1256</x:v>
      </x:c>
      <x:c r="G7" s="9" t="s">
        <x:v>37</x:v>
      </x:c>
      <x:c r="H7" s="9" t="s">
        <x:v>113</x:v>
      </x:c>
      <x:c r="I7" s="9" t="s">
        <x:v>1260</x:v>
      </x:c>
    </x:row>
    <x:row r="8" customFormat="false" ht="38" hidden="false" customHeight="true" outlineLevel="0" collapsed="false">
      <x:c r="A8" s="10" t="s">
        <x:v>31</x:v>
      </x:c>
      <x:c r="B8" s="10" t="n">
        <x:f aca="false">COUNTIF(Checklist!$D$4:$D$300,A8)</x:f>
        <x:v>93</x:v>
      </x:c>
      <x:c r="C8" s="10" t="n">
        <x:f aca="false">COUNTIFS(Checklist!$D$4:$D$300,A8,Checklist!$A$4:$A$300,"Done")</x:f>
        <x:v>0</x:v>
      </x:c>
      <x:c r="D8" s="10" t="n">
        <x:f aca="false">COUNTIFS(Checklist!$D$4:$D$300,A8,Checklist!$A$4:$A$300,"N/A")</x:f>
        <x:v>0</x:v>
      </x:c>
      <x:c r="E8" s="10" t="n">
        <x:f aca="false">B8-D8</x:f>
        <x:v>93</x:v>
      </x:c>
      <x:c r="F8" s="11" t="n">
        <x:f aca="false">IF(E8=0,0,C8/E8)</x:f>
        <x:v>0</x:v>
      </x:c>
      <x:c r="G8" s="10" t="n">
        <x:f aca="false">COUNTIFS(Checklist!$D$4:$D$300,A8,Checklist!$J$4:$J$300,"Direct")</x:f>
        <x:v>84</x:v>
      </x:c>
      <x:c r="H8" s="10" t="n">
        <x:f aca="false">COUNTIFS(Checklist!$D$4:$D$300,A8,Checklist!$J$4:$J$300,"Sensor-specific")</x:f>
        <x:v>1</x:v>
      </x:c>
      <x:c r="I8" s="10" t="n">
        <x:f aca="false">COUNTIFS(Checklist!$D$4:$D$300,A8,Checklist!$B$4:$B$300,"&lt;&gt;",Checklist!$X$4:$X$300,"")</x:f>
        <x:v>93</x:v>
      </x:c>
    </x:row>
    <x:row r="9" customFormat="false" ht="38" hidden="false" customHeight="true" outlineLevel="0" collapsed="false">
      <x:c r="A9" s="10" t="s">
        <x:v>93</x:v>
      </x:c>
      <x:c r="B9" s="10" t="n">
        <x:f aca="false">COUNTIF(Checklist!$D$4:$D$300,A9)</x:f>
        <x:v>12</x:v>
      </x:c>
      <x:c r="C9" s="10" t="n">
        <x:f aca="false">COUNTIFS(Checklist!$D$4:$D$300,A9,Checklist!$A$4:$A$300,"Done")</x:f>
        <x:v>0</x:v>
      </x:c>
      <x:c r="D9" s="10" t="n">
        <x:f aca="false">COUNTIFS(Checklist!$D$4:$D$300,A9,Checklist!$A$4:$A$300,"N/A")</x:f>
        <x:v>0</x:v>
      </x:c>
      <x:c r="E9" s="10" t="n">
        <x:f aca="false">B9-D9</x:f>
        <x:v>12</x:v>
      </x:c>
      <x:c r="F9" s="11" t="n">
        <x:f aca="false">IF(E9=0,0,C9/E9)</x:f>
        <x:v>0</x:v>
      </x:c>
      <x:c r="G9" s="10" t="n">
        <x:f aca="false">COUNTIFS(Checklist!$D$4:$D$300,A9,Checklist!$J$4:$J$300,"Direct")</x:f>
        <x:v>3</x:v>
      </x:c>
      <x:c r="H9" s="10" t="n">
        <x:f aca="false">COUNTIFS(Checklist!$D$4:$D$300,A9,Checklist!$J$4:$J$300,"Sensor-specific")</x:f>
        <x:v>7</x:v>
      </x:c>
      <x:c r="I9" s="10" t="n">
        <x:f aca="false">COUNTIFS(Checklist!$D$4:$D$300,A9,Checklist!$B$4:$B$300,"&lt;&gt;",Checklist!$X$4:$X$300,"")</x:f>
        <x:v>12</x:v>
      </x:c>
    </x:row>
    <x:row r="10" customFormat="false" ht="38" hidden="false" customHeight="true" outlineLevel="0" collapsed="false">
      <x:c r="A10" s="10" t="s">
        <x:v>760</x:v>
      </x:c>
      <x:c r="B10" s="10" t="n">
        <x:f aca="false">COUNTIF(Checklist!$D$4:$D$300,A10)</x:f>
        <x:v>14</x:v>
      </x:c>
      <x:c r="C10" s="10" t="n">
        <x:f aca="false">COUNTIFS(Checklist!$D$4:$D$300,A10,Checklist!$A$4:$A$300,"Done")</x:f>
        <x:v>0</x:v>
      </x:c>
      <x:c r="D10" s="10" t="n">
        <x:f aca="false">COUNTIFS(Checklist!$D$4:$D$300,A10,Checklist!$A$4:$A$300,"N/A")</x:f>
        <x:v>0</x:v>
      </x:c>
      <x:c r="E10" s="10" t="n">
        <x:f aca="false">B10-D10</x:f>
        <x:v>14</x:v>
      </x:c>
      <x:c r="F10" s="11" t="n">
        <x:f aca="false">IF(E10=0,0,C10/E10)</x:f>
        <x:v>0</x:v>
      </x:c>
      <x:c r="G10" s="10" t="n">
        <x:f aca="false">COUNTIFS(Checklist!$D$4:$D$300,A10,Checklist!$J$4:$J$300,"Direct")</x:f>
        <x:v>12</x:v>
      </x:c>
      <x:c r="H10" s="10" t="n">
        <x:f aca="false">COUNTIFS(Checklist!$D$4:$D$300,A10,Checklist!$J$4:$J$300,"Sensor-specific")</x:f>
        <x:v>0</x:v>
      </x:c>
      <x:c r="I10" s="10" t="n">
        <x:f aca="false">COUNTIFS(Checklist!$D$4:$D$300,A10,Checklist!$B$4:$B$300,"&lt;&gt;",Checklist!$X$4:$X$300,"")</x:f>
        <x:v>14</x:v>
      </x:c>
    </x:row>
    <x:row r="11" customFormat="false" ht="38" hidden="false" customHeight="true" outlineLevel="0" collapsed="false">
      <x:c r="A11" s="10" t="s">
        <x:v>605</x:v>
      </x:c>
      <x:c r="B11" s="10" t="n">
        <x:f aca="false">COUNTIF(Checklist!$D$4:$D$300,A11)</x:f>
        <x:v>12</x:v>
      </x:c>
      <x:c r="C11" s="10" t="n">
        <x:f aca="false">COUNTIFS(Checklist!$D$4:$D$300,A11,Checklist!$A$4:$A$300,"Done")</x:f>
        <x:v>0</x:v>
      </x:c>
      <x:c r="D11" s="10" t="n">
        <x:f aca="false">COUNTIFS(Checklist!$D$4:$D$300,A11,Checklist!$A$4:$A$300,"N/A")</x:f>
        <x:v>0</x:v>
      </x:c>
      <x:c r="E11" s="10" t="n">
        <x:f aca="false">B11-D11</x:f>
        <x:v>12</x:v>
      </x:c>
      <x:c r="F11" s="11" t="n">
        <x:f aca="false">IF(E11=0,0,C11/E11)</x:f>
        <x:v>0</x:v>
      </x:c>
      <x:c r="G11" s="10" t="n">
        <x:f aca="false">COUNTIFS(Checklist!$D$4:$D$300,A11,Checklist!$J$4:$J$300,"Direct")</x:f>
        <x:v>10</x:v>
      </x:c>
      <x:c r="H11" s="10" t="n">
        <x:f aca="false">COUNTIFS(Checklist!$D$4:$D$300,A11,Checklist!$J$4:$J$300,"Sensor-specific")</x:f>
        <x:v>0</x:v>
      </x:c>
      <x:c r="I11" s="10" t="n">
        <x:f aca="false">COUNTIFS(Checklist!$D$4:$D$300,A11,Checklist!$B$4:$B$300,"&lt;&gt;",Checklist!$X$4:$X$300,"")</x:f>
        <x:v>12</x:v>
      </x:c>
    </x:row>
    <x:row r="12" customFormat="false" ht="38" hidden="false" customHeight="true" outlineLevel="0" collapsed="false">
      <x:c r="A12" s="10" t="s">
        <x:v>830</x:v>
      </x:c>
      <x:c r="B12" s="10" t="n">
        <x:f aca="false">COUNTIF(Checklist!$D$4:$D$300,A12)</x:f>
        <x:v>20</x:v>
      </x:c>
      <x:c r="C12" s="10" t="n">
        <x:f aca="false">COUNTIFS(Checklist!$D$4:$D$300,A12,Checklist!$A$4:$A$300,"Done")</x:f>
        <x:v>0</x:v>
      </x:c>
      <x:c r="D12" s="10" t="n">
        <x:f aca="false">COUNTIFS(Checklist!$D$4:$D$300,A12,Checklist!$A$4:$A$300,"N/A")</x:f>
        <x:v>0</x:v>
      </x:c>
      <x:c r="E12" s="10" t="n">
        <x:f aca="false">B12-D12</x:f>
        <x:v>20</x:v>
      </x:c>
      <x:c r="F12" s="11" t="n">
        <x:f aca="false">IF(E12=0,0,C12/E12)</x:f>
        <x:v>0</x:v>
      </x:c>
      <x:c r="G12" s="10" t="n">
        <x:f aca="false">COUNTIFS(Checklist!$D$4:$D$300,A12,Checklist!$J$4:$J$300,"Direct")</x:f>
        <x:v>20</x:v>
      </x:c>
      <x:c r="H12" s="10" t="n">
        <x:f aca="false">COUNTIFS(Checklist!$D$4:$D$300,A12,Checklist!$J$4:$J$300,"Sensor-specific")</x:f>
        <x:v>0</x:v>
      </x:c>
      <x:c r="I12" s="10" t="n">
        <x:f aca="false">COUNTIFS(Checklist!$D$4:$D$300,A12,Checklist!$B$4:$B$300,"&lt;&gt;",Checklist!$X$4:$X$300,"")</x:f>
        <x:v>20</x:v>
      </x:c>
    </x:row>
    <x:row r="15" customFormat="false" ht="16.4" hidden="false" customHeight="false" outlineLevel="0" collapsed="false">
      <x:c r="A15" s="9" t="s">
        <x:v>4</x:v>
      </x:c>
      <x:c r="B15" s="9" t="s">
        <x:v>1263</x:v>
      </x:c>
      <x:c r="C15" s="9" t="s">
        <x:v>1255</x:v>
      </x:c>
      <x:c r="D15" s="9" t="s">
        <x:v>1257</x:v>
      </x:c>
      <x:c r="E15" s="9" t="s">
        <x:v>1254</x:v>
      </x:c>
      <x:c r="F15" s="9" t="s">
        <x:v>1256</x:v>
      </x:c>
      <x:c r="G15" s="9" t="s">
        <x:v>37</x:v>
      </x:c>
      <x:c r="H15" s="9" t="s">
        <x:v>113</x:v>
      </x:c>
      <x:c r="I15" s="9" t="s">
        <x:v>1260</x:v>
      </x:c>
    </x:row>
    <x:row r="16" customFormat="false" ht="15" hidden="false" customHeight="false" outlineLevel="0" collapsed="false">
      <x:c r="A16" s="10" t="s">
        <x:v>30</x:v>
      </x:c>
      <x:c r="B16" s="10" t="n">
        <x:f aca="false">COUNTIF(Checklist!$C$4:$C$300,A16)</x:f>
        <x:v>13</x:v>
      </x:c>
      <x:c r="C16" s="10" t="n">
        <x:f aca="false">COUNTIFS(Checklist!$C$4:$C$300,A16,Checklist!$A$4:$A$300,"Done")</x:f>
        <x:v>0</x:v>
      </x:c>
      <x:c r="D16" s="10" t="n">
        <x:f aca="false">COUNTIFS(Checklist!$C$4:$C$300,A16,Checklist!$A$4:$A$300,"N/A")</x:f>
        <x:v>0</x:v>
      </x:c>
      <x:c r="E16" s="10" t="n">
        <x:f aca="false">B16-D16</x:f>
        <x:v>13</x:v>
      </x:c>
      <x:c r="F16" s="11" t="n">
        <x:f aca="false">IF(E16=0,0,C16/E16)</x:f>
        <x:v>0</x:v>
      </x:c>
      <x:c r="G16" s="10" t="n">
        <x:f aca="false">COUNTIFS(Checklist!$C$4:$C$300,A16,Checklist!$J$4:$J$300,"Direct")</x:f>
        <x:v>12</x:v>
      </x:c>
      <x:c r="H16" s="10" t="n">
        <x:f aca="false">COUNTIFS(Checklist!$C$4:$C$300,A16,Checklist!$J$4:$J$300,"Sensor-specific")</x:f>
        <x:v>1</x:v>
      </x:c>
      <x:c r="I16" s="10" t="n">
        <x:f aca="false">COUNTIFS(Checklist!$C$4:$C$300,A16,Checklist!$B$4:$B$300,"&lt;&gt;",Checklist!$X$4:$X$300,"")</x:f>
        <x:v>13</x:v>
      </x:c>
    </x:row>
    <x:row r="17" customFormat="false" ht="15" hidden="false" customHeight="false" outlineLevel="0" collapsed="false">
      <x:c r="A17" s="10" t="s">
        <x:v>126</x:v>
      </x:c>
      <x:c r="B17" s="10" t="n">
        <x:f aca="false">COUNTIF(Checklist!$C$4:$C$300,A17)</x:f>
        <x:v>9</x:v>
      </x:c>
      <x:c r="C17" s="10" t="n">
        <x:f aca="false">COUNTIFS(Checklist!$C$4:$C$300,A17,Checklist!$A$4:$A$300,"Done")</x:f>
        <x:v>0</x:v>
      </x:c>
      <x:c r="D17" s="10" t="n">
        <x:f aca="false">COUNTIFS(Checklist!$C$4:$C$300,A17,Checklist!$A$4:$A$300,"N/A")</x:f>
        <x:v>0</x:v>
      </x:c>
      <x:c r="E17" s="10" t="n">
        <x:f aca="false">B17-D17</x:f>
        <x:v>9</x:v>
      </x:c>
      <x:c r="F17" s="11" t="n">
        <x:f aca="false">IF(E17=0,0,C17/E17)</x:f>
        <x:v>0</x:v>
      </x:c>
      <x:c r="G17" s="10" t="n">
        <x:f aca="false">COUNTIFS(Checklist!$C$4:$C$300,A17,Checklist!$J$4:$J$300,"Direct")</x:f>
        <x:v>7</x:v>
      </x:c>
      <x:c r="H17" s="10" t="n">
        <x:f aca="false">COUNTIFS(Checklist!$C$4:$C$300,A17,Checklist!$J$4:$J$300,"Sensor-specific")</x:f>
        <x:v>1</x:v>
      </x:c>
      <x:c r="I17" s="10" t="n">
        <x:f aca="false">COUNTIFS(Checklist!$C$4:$C$300,A17,Checklist!$B$4:$B$300,"&lt;&gt;",Checklist!$X$4:$X$300,"")</x:f>
        <x:v>9</x:v>
      </x:c>
    </x:row>
    <x:row r="18" customFormat="false" ht="15" hidden="false" customHeight="false" outlineLevel="0" collapsed="false">
      <x:c r="A18" s="10" t="s">
        <x:v>175</x:v>
      </x:c>
      <x:c r="B18" s="10" t="n">
        <x:f aca="false">COUNTIF(Checklist!$C$4:$C$300,A18)</x:f>
        <x:v>13</x:v>
      </x:c>
      <x:c r="C18" s="10" t="n">
        <x:f aca="false">COUNTIFS(Checklist!$C$4:$C$300,A18,Checklist!$A$4:$A$300,"Done")</x:f>
        <x:v>0</x:v>
      </x:c>
      <x:c r="D18" s="10" t="n">
        <x:f aca="false">COUNTIFS(Checklist!$C$4:$C$300,A18,Checklist!$A$4:$A$300,"N/A")</x:f>
        <x:v>0</x:v>
      </x:c>
      <x:c r="E18" s="10" t="n">
        <x:f aca="false">B18-D18</x:f>
        <x:v>13</x:v>
      </x:c>
      <x:c r="F18" s="11" t="n">
        <x:f aca="false">IF(E18=0,0,C18/E18)</x:f>
        <x:v>0</x:v>
      </x:c>
      <x:c r="G18" s="10" t="n">
        <x:f aca="false">COUNTIFS(Checklist!$C$4:$C$300,A18,Checklist!$J$4:$J$300,"Direct")</x:f>
        <x:v>10</x:v>
      </x:c>
      <x:c r="H18" s="10" t="n">
        <x:f aca="false">COUNTIFS(Checklist!$C$4:$C$300,A18,Checklist!$J$4:$J$300,"Sensor-specific")</x:f>
        <x:v>1</x:v>
      </x:c>
      <x:c r="I18" s="10" t="n">
        <x:f aca="false">COUNTIFS(Checklist!$C$4:$C$300,A18,Checklist!$B$4:$B$300,"&lt;&gt;",Checklist!$X$4:$X$300,"")</x:f>
        <x:v>13</x:v>
      </x:c>
    </x:row>
    <x:row r="19" customFormat="false" ht="15" hidden="false" customHeight="false" outlineLevel="0" collapsed="false">
      <x:c r="A19" s="10" t="s">
        <x:v>232</x:v>
      </x:c>
      <x:c r="B19" s="10" t="n">
        <x:f aca="false">COUNTIF(Checklist!$C$4:$C$300,A19)</x:f>
        <x:v>13</x:v>
      </x:c>
      <x:c r="C19" s="10" t="n">
        <x:f aca="false">COUNTIFS(Checklist!$C$4:$C$300,A19,Checklist!$A$4:$A$300,"Done")</x:f>
        <x:v>0</x:v>
      </x:c>
      <x:c r="D19" s="10" t="n">
        <x:f aca="false">COUNTIFS(Checklist!$C$4:$C$300,A19,Checklist!$A$4:$A$300,"N/A")</x:f>
        <x:v>0</x:v>
      </x:c>
      <x:c r="E19" s="10" t="n">
        <x:f aca="false">B19-D19</x:f>
        <x:v>13</x:v>
      </x:c>
      <x:c r="F19" s="11" t="n">
        <x:f aca="false">IF(E19=0,0,C19/E19)</x:f>
        <x:v>0</x:v>
      </x:c>
      <x:c r="G19" s="10" t="n">
        <x:f aca="false">COUNTIFS(Checklist!$C$4:$C$300,A19,Checklist!$J$4:$J$300,"Direct")</x:f>
        <x:v>10</x:v>
      </x:c>
      <x:c r="H19" s="10" t="n">
        <x:f aca="false">COUNTIFS(Checklist!$C$4:$C$300,A19,Checklist!$J$4:$J$300,"Sensor-specific")</x:f>
        <x:v>3</x:v>
      </x:c>
      <x:c r="I19" s="10" t="n">
        <x:f aca="false">COUNTIFS(Checklist!$C$4:$C$300,A19,Checklist!$B$4:$B$300,"&lt;&gt;",Checklist!$X$4:$X$300,"")</x:f>
        <x:v>13</x:v>
      </x:c>
    </x:row>
    <x:row r="20" customFormat="false" ht="15" hidden="false" customHeight="false" outlineLevel="0" collapsed="false">
      <x:c r="A20" s="10" t="s">
        <x:v>312</x:v>
      </x:c>
      <x:c r="B20" s="10" t="n">
        <x:f aca="false">COUNTIF(Checklist!$C$4:$C$300,A20)</x:f>
        <x:v>9</x:v>
      </x:c>
      <x:c r="C20" s="10" t="n">
        <x:f aca="false">COUNTIFS(Checklist!$C$4:$C$300,A20,Checklist!$A$4:$A$300,"Done")</x:f>
        <x:v>0</x:v>
      </x:c>
      <x:c r="D20" s="10" t="n">
        <x:f aca="false">COUNTIFS(Checklist!$C$4:$C$300,A20,Checklist!$A$4:$A$300,"N/A")</x:f>
        <x:v>0</x:v>
      </x:c>
      <x:c r="E20" s="10" t="n">
        <x:f aca="false">B20-D20</x:f>
        <x:v>9</x:v>
      </x:c>
      <x:c r="F20" s="11" t="n">
        <x:f aca="false">IF(E20=0,0,C20/E20)</x:f>
        <x:v>0</x:v>
      </x:c>
      <x:c r="G20" s="10" t="n">
        <x:f aca="false">COUNTIFS(Checklist!$C$4:$C$300,A20,Checklist!$J$4:$J$300,"Direct")</x:f>
        <x:v>8</x:v>
      </x:c>
      <x:c r="H20" s="10" t="n">
        <x:f aca="false">COUNTIFS(Checklist!$C$4:$C$300,A20,Checklist!$J$4:$J$300,"Sensor-specific")</x:f>
        <x:v>0</x:v>
      </x:c>
      <x:c r="I20" s="10" t="n">
        <x:f aca="false">COUNTIFS(Checklist!$C$4:$C$300,A20,Checklist!$B$4:$B$300,"&lt;&gt;",Checklist!$X$4:$X$300,"")</x:f>
        <x:v>9</x:v>
      </x:c>
    </x:row>
    <x:row r="21" customFormat="false" ht="15" hidden="false" customHeight="false" outlineLevel="0" collapsed="false">
      <x:c r="A21" s="10" t="s">
        <x:v>367</x:v>
      </x:c>
      <x:c r="B21" s="10" t="n">
        <x:f aca="false">COUNTIF(Checklist!$C$4:$C$300,A21)</x:f>
        <x:v>8</x:v>
      </x:c>
      <x:c r="C21" s="10" t="n">
        <x:f aca="false">COUNTIFS(Checklist!$C$4:$C$300,A21,Checklist!$A$4:$A$300,"Done")</x:f>
        <x:v>0</x:v>
      </x:c>
      <x:c r="D21" s="10" t="n">
        <x:f aca="false">COUNTIFS(Checklist!$C$4:$C$300,A21,Checklist!$A$4:$A$300,"N/A")</x:f>
        <x:v>0</x:v>
      </x:c>
      <x:c r="E21" s="10" t="n">
        <x:f aca="false">B21-D21</x:f>
        <x:v>8</x:v>
      </x:c>
      <x:c r="F21" s="11" t="n">
        <x:f aca="false">IF(E21=0,0,C21/E21)</x:f>
        <x:v>0</x:v>
      </x:c>
      <x:c r="G21" s="10" t="n">
        <x:f aca="false">COUNTIFS(Checklist!$C$4:$C$300,A21,Checklist!$J$4:$J$300,"Direct")</x:f>
        <x:v>5</x:v>
      </x:c>
      <x:c r="H21" s="10" t="n">
        <x:f aca="false">COUNTIFS(Checklist!$C$4:$C$300,A21,Checklist!$J$4:$J$300,"Sensor-specific")</x:f>
        <x:v>2</x:v>
      </x:c>
      <x:c r="I21" s="10" t="n">
        <x:f aca="false">COUNTIFS(Checklist!$C$4:$C$300,A21,Checklist!$B$4:$B$300,"&lt;&gt;",Checklist!$X$4:$X$300,"")</x:f>
        <x:v>8</x:v>
      </x:c>
    </x:row>
    <x:row r="22" customFormat="false" ht="15" hidden="false" customHeight="false" outlineLevel="0" collapsed="false">
      <x:c r="A22" s="10" t="s">
        <x:v>413</x:v>
      </x:c>
      <x:c r="B22" s="10" t="n">
        <x:f aca="false">COUNTIF(Checklist!$C$4:$C$300,A22)</x:f>
        <x:v>9</x:v>
      </x:c>
      <x:c r="C22" s="10" t="n">
        <x:f aca="false">COUNTIFS(Checklist!$C$4:$C$300,A22,Checklist!$A$4:$A$300,"Done")</x:f>
        <x:v>0</x:v>
      </x:c>
      <x:c r="D22" s="10" t="n">
        <x:f aca="false">COUNTIFS(Checklist!$C$4:$C$300,A22,Checklist!$A$4:$A$300,"N/A")</x:f>
        <x:v>0</x:v>
      </x:c>
      <x:c r="E22" s="10" t="n">
        <x:f aca="false">B22-D22</x:f>
        <x:v>9</x:v>
      </x:c>
      <x:c r="F22" s="11" t="n">
        <x:f aca="false">IF(E22=0,0,C22/E22)</x:f>
        <x:v>0</x:v>
      </x:c>
      <x:c r="G22" s="10" t="n">
        <x:f aca="false">COUNTIFS(Checklist!$C$4:$C$300,A22,Checklist!$J$4:$J$300,"Direct")</x:f>
        <x:v>8</x:v>
      </x:c>
      <x:c r="H22" s="10" t="n">
        <x:f aca="false">COUNTIFS(Checklist!$C$4:$C$300,A22,Checklist!$J$4:$J$300,"Sensor-specific")</x:f>
        <x:v>0</x:v>
      </x:c>
      <x:c r="I22" s="10" t="n">
        <x:f aca="false">COUNTIFS(Checklist!$C$4:$C$300,A22,Checklist!$B$4:$B$300,"&lt;&gt;",Checklist!$X$4:$X$300,"")</x:f>
        <x:v>9</x:v>
      </x:c>
    </x:row>
    <x:row r="23" customFormat="false" ht="15" hidden="false" customHeight="false" outlineLevel="0" collapsed="false">
      <x:c r="A23" s="10" t="s">
        <x:v>475</x:v>
      </x:c>
      <x:c r="B23" s="10" t="n">
        <x:f aca="false">COUNTIF(Checklist!$C$4:$C$300,A23)</x:f>
        <x:v>9</x:v>
      </x:c>
      <x:c r="C23" s="10" t="n">
        <x:f aca="false">COUNTIFS(Checklist!$C$4:$C$300,A23,Checklist!$A$4:$A$300,"Done")</x:f>
        <x:v>0</x:v>
      </x:c>
      <x:c r="D23" s="10" t="n">
        <x:f aca="false">COUNTIFS(Checklist!$C$4:$C$300,A23,Checklist!$A$4:$A$300,"N/A")</x:f>
        <x:v>0</x:v>
      </x:c>
      <x:c r="E23" s="10" t="n">
        <x:f aca="false">B23-D23</x:f>
        <x:v>9</x:v>
      </x:c>
      <x:c r="F23" s="11" t="n">
        <x:f aca="false">IF(E23=0,0,C23/E23)</x:f>
        <x:v>0</x:v>
      </x:c>
      <x:c r="G23" s="10" t="n">
        <x:f aca="false">COUNTIFS(Checklist!$C$4:$C$300,A23,Checklist!$J$4:$J$300,"Direct")</x:f>
        <x:v>7</x:v>
      </x:c>
      <x:c r="H23" s="10" t="n">
        <x:f aca="false">COUNTIFS(Checklist!$C$4:$C$300,A23,Checklist!$J$4:$J$300,"Sensor-specific")</x:f>
        <x:v>0</x:v>
      </x:c>
      <x:c r="I23" s="10" t="n">
        <x:f aca="false">COUNTIFS(Checklist!$C$4:$C$300,A23,Checklist!$B$4:$B$300,"&lt;&gt;",Checklist!$X$4:$X$300,"")</x:f>
        <x:v>9</x:v>
      </x:c>
    </x:row>
    <x:row r="24" customFormat="false" ht="15" hidden="false" customHeight="false" outlineLevel="0" collapsed="false">
      <x:c r="A24" s="10" t="s">
        <x:v>522</x:v>
      </x:c>
      <x:c r="B24" s="10" t="n">
        <x:f aca="false">COUNTIF(Checklist!$C$4:$C$300,A24)</x:f>
        <x:v>12</x:v>
      </x:c>
      <x:c r="C24" s="10" t="n">
        <x:f aca="false">COUNTIFS(Checklist!$C$4:$C$300,A24,Checklist!$A$4:$A$300,"Done")</x:f>
        <x:v>0</x:v>
      </x:c>
      <x:c r="D24" s="10" t="n">
        <x:f aca="false">COUNTIFS(Checklist!$C$4:$C$300,A24,Checklist!$A$4:$A$300,"N/A")</x:f>
        <x:v>0</x:v>
      </x:c>
      <x:c r="E24" s="10" t="n">
        <x:f aca="false">B24-D24</x:f>
        <x:v>12</x:v>
      </x:c>
      <x:c r="F24" s="11" t="n">
        <x:f aca="false">IF(E24=0,0,C24/E24)</x:f>
        <x:v>0</x:v>
      </x:c>
      <x:c r="G24" s="10" t="n">
        <x:f aca="false">COUNTIFS(Checklist!$C$4:$C$300,A24,Checklist!$J$4:$J$300,"Direct")</x:f>
        <x:v>11</x:v>
      </x:c>
      <x:c r="H24" s="10" t="n">
        <x:f aca="false">COUNTIFS(Checklist!$C$4:$C$300,A24,Checklist!$J$4:$J$300,"Sensor-specific")</x:f>
        <x:v>0</x:v>
      </x:c>
      <x:c r="I24" s="10" t="n">
        <x:f aca="false">COUNTIFS(Checklist!$C$4:$C$300,A24,Checklist!$B$4:$B$300,"&lt;&gt;",Checklist!$X$4:$X$300,"")</x:f>
        <x:v>12</x:v>
      </x:c>
    </x:row>
    <x:row r="25" customFormat="false" ht="15" hidden="false" customHeight="false" outlineLevel="0" collapsed="false">
      <x:c r="A25" s="10" t="s">
        <x:v>604</x:v>
      </x:c>
      <x:c r="B25" s="10" t="n">
        <x:f aca="false">COUNTIF(Checklist!$C$4:$C$300,A25)</x:f>
        <x:v>11</x:v>
      </x:c>
      <x:c r="C25" s="10" t="n">
        <x:f aca="false">COUNTIFS(Checklist!$C$4:$C$300,A25,Checklist!$A$4:$A$300,"Done")</x:f>
        <x:v>0</x:v>
      </x:c>
      <x:c r="D25" s="10" t="n">
        <x:f aca="false">COUNTIFS(Checklist!$C$4:$C$300,A25,Checklist!$A$4:$A$300,"N/A")</x:f>
        <x:v>0</x:v>
      </x:c>
      <x:c r="E25" s="10" t="n">
        <x:f aca="false">B25-D25</x:f>
        <x:v>11</x:v>
      </x:c>
      <x:c r="F25" s="11" t="n">
        <x:f aca="false">IF(E25=0,0,C25/E25)</x:f>
        <x:v>0</x:v>
      </x:c>
      <x:c r="G25" s="10" t="n">
        <x:f aca="false">COUNTIFS(Checklist!$C$4:$C$300,A25,Checklist!$J$4:$J$300,"Direct")</x:f>
        <x:v>9</x:v>
      </x:c>
      <x:c r="H25" s="10" t="n">
        <x:f aca="false">COUNTIFS(Checklist!$C$4:$C$300,A25,Checklist!$J$4:$J$300,"Sensor-specific")</x:f>
        <x:v>0</x:v>
      </x:c>
      <x:c r="I25" s="10" t="n">
        <x:f aca="false">COUNTIFS(Checklist!$C$4:$C$300,A25,Checklist!$B$4:$B$300,"&lt;&gt;",Checklist!$X$4:$X$300,"")</x:f>
        <x:v>11</x:v>
      </x:c>
    </x:row>
    <x:row r="26" customFormat="false" ht="15" hidden="false" customHeight="false" outlineLevel="0" collapsed="false">
      <x:c r="A26" s="10" t="s">
        <x:v>668</x:v>
      </x:c>
      <x:c r="B26" s="10" t="n">
        <x:f aca="false">COUNTIF(Checklist!$C$4:$C$300,A26)</x:f>
        <x:v>19</x:v>
      </x:c>
      <x:c r="C26" s="10" t="n">
        <x:f aca="false">COUNTIFS(Checklist!$C$4:$C$300,A26,Checklist!$A$4:$A$300,"Done")</x:f>
        <x:v>0</x:v>
      </x:c>
      <x:c r="D26" s="10" t="n">
        <x:f aca="false">COUNTIFS(Checklist!$C$4:$C$300,A26,Checklist!$A$4:$A$300,"N/A")</x:f>
        <x:v>0</x:v>
      </x:c>
      <x:c r="E26" s="10" t="n">
        <x:f aca="false">B26-D26</x:f>
        <x:v>19</x:v>
      </x:c>
      <x:c r="F26" s="11" t="n">
        <x:f aca="false">IF(E26=0,0,C26/E26)</x:f>
        <x:v>0</x:v>
      </x:c>
      <x:c r="G26" s="10" t="n">
        <x:f aca="false">COUNTIFS(Checklist!$C$4:$C$300,A26,Checklist!$J$4:$J$300,"Direct")</x:f>
        <x:v>17</x:v>
      </x:c>
      <x:c r="H26" s="10" t="n">
        <x:f aca="false">COUNTIFS(Checklist!$C$4:$C$300,A26,Checklist!$J$4:$J$300,"Sensor-specific")</x:f>
        <x:v>0</x:v>
      </x:c>
      <x:c r="I26" s="10" t="n">
        <x:f aca="false">COUNTIFS(Checklist!$C$4:$C$300,A26,Checklist!$B$4:$B$300,"&lt;&gt;",Checklist!$X$4:$X$300,"")</x:f>
        <x:v>19</x:v>
      </x:c>
    </x:row>
    <x:row r="27" customFormat="false" ht="15" hidden="false" customHeight="false" outlineLevel="0" collapsed="false">
      <x:c r="A27" s="10" t="s">
        <x:v>759</x:v>
      </x:c>
      <x:c r="B27" s="10" t="n">
        <x:f aca="false">COUNTIF(Checklist!$C$4:$C$300,A27)</x:f>
        <x:v>20</x:v>
      </x:c>
      <x:c r="C27" s="10" t="n">
        <x:f aca="false">COUNTIFS(Checklist!$C$4:$C$300,A27,Checklist!$A$4:$A$300,"Done")</x:f>
        <x:v>0</x:v>
      </x:c>
      <x:c r="D27" s="10" t="n">
        <x:f aca="false">COUNTIFS(Checklist!$C$4:$C$300,A27,Checklist!$A$4:$A$300,"N/A")</x:f>
        <x:v>0</x:v>
      </x:c>
      <x:c r="E27" s="10" t="n">
        <x:f aca="false">B27-D27</x:f>
        <x:v>20</x:v>
      </x:c>
      <x:c r="F27" s="11" t="n">
        <x:f aca="false">IF(E27=0,0,C27/E27)</x:f>
        <x:v>0</x:v>
      </x:c>
      <x:c r="G27" s="10" t="n">
        <x:f aca="false">COUNTIFS(Checklist!$C$4:$C$300,A27,Checklist!$J$4:$J$300,"Direct")</x:f>
        <x:v>19</x:v>
      </x:c>
      <x:c r="H27" s="10" t="n">
        <x:f aca="false">COUNTIFS(Checklist!$C$4:$C$300,A27,Checklist!$J$4:$J$300,"Sensor-specific")</x:f>
        <x:v>0</x:v>
      </x:c>
      <x:c r="I27" s="10" t="n">
        <x:f aca="false">COUNTIFS(Checklist!$C$4:$C$300,A27,Checklist!$B$4:$B$300,"&lt;&gt;",Checklist!$X$4:$X$300,"")</x:f>
        <x:v>20</x:v>
      </x:c>
    </x:row>
    <x:row r="28" customFormat="false" ht="15" hidden="false" customHeight="false" outlineLevel="0" collapsed="false">
      <x:c r="A28" s="10" t="s">
        <x:v>829</x:v>
      </x:c>
      <x:c r="B28" s="10" t="n">
        <x:f aca="false">COUNTIF(Checklist!$C$4:$C$300,A28)</x:f>
        <x:v>6</x:v>
      </x:c>
      <x:c r="C28" s="10" t="n">
        <x:f aca="false">COUNTIFS(Checklist!$C$4:$C$300,A28,Checklist!$A$4:$A$300,"Done")</x:f>
        <x:v>0</x:v>
      </x:c>
      <x:c r="D28" s="10" t="n">
        <x:f aca="false">COUNTIFS(Checklist!$C$4:$C$300,A28,Checklist!$A$4:$A$300,"N/A")</x:f>
        <x:v>0</x:v>
      </x:c>
      <x:c r="E28" s="10" t="n">
        <x:f aca="false">B28-D28</x:f>
        <x:v>6</x:v>
      </x:c>
      <x:c r="F28" s="11" t="n">
        <x:f aca="false">IF(E28=0,0,C28/E28)</x:f>
        <x:v>0</x:v>
      </x:c>
      <x:c r="G28" s="10" t="n">
        <x:f aca="false">COUNTIFS(Checklist!$C$4:$C$300,A28,Checklist!$J$4:$J$300,"Direct")</x:f>
        <x:v>6</x:v>
      </x:c>
      <x:c r="H28" s="10" t="n">
        <x:f aca="false">COUNTIFS(Checklist!$C$4:$C$300,A28,Checklist!$J$4:$J$300,"Sensor-specific")</x:f>
        <x:v>0</x:v>
      </x:c>
      <x:c r="I28" s="10" t="n">
        <x:f aca="false">COUNTIFS(Checklist!$C$4:$C$300,A28,Checklist!$B$4:$B$300,"&lt;&gt;",Checklist!$X$4:$X$300,"")</x:f>
        <x:v>6</x:v>
      </x:c>
    </x:row>
    <x:row r="31" customFormat="false" ht="15" hidden="false" customHeight="false" outlineLevel="0" collapsed="false">
      <x:c r="A31" s="12" t="s">
        <x:v>1264</x:v>
      </x:c>
      <x:c r="B31" s="12"/>
      <x:c r="C31" s="12"/>
      <x:c r="D31" s="12"/>
      <x:c r="E31" s="12"/>
      <x:c r="F31" s="12"/>
      <x:c r="G31" s="12"/>
      <x:c r="H31" s="12"/>
      <x:c r="I31" s="12"/>
      <x:c r="J31" s="12"/>
    </x:row>
    <x:row r="32" customFormat="false" ht="15" hidden="false" customHeight="true" outlineLevel="0" collapsed="false">
      <x:c r="A32" s="13" t="s">
        <x:v>37</x:v>
      </x:c>
      <x:c r="B32" s="13" t="s">
        <x:v>1265</x:v>
      </x:c>
      <x:c r="C32" s="13"/>
      <x:c r="D32" s="13"/>
      <x:c r="E32" s="13"/>
      <x:c r="F32" s="13"/>
      <x:c r="G32" s="13"/>
      <x:c r="H32" s="13"/>
      <x:c r="I32" s="13"/>
      <x:c r="J32" s="13"/>
    </x:row>
    <x:row r="33" customFormat="false" ht="15" hidden="false" customHeight="true" outlineLevel="0" collapsed="false">
      <x:c r="A33" s="13" t="s">
        <x:v>338</x:v>
      </x:c>
      <x:c r="B33" s="13" t="s">
        <x:v>1266</x:v>
      </x:c>
      <x:c r="C33" s="13"/>
      <x:c r="D33" s="13"/>
      <x:c r="E33" s="13"/>
      <x:c r="F33" s="13"/>
      <x:c r="G33" s="13"/>
      <x:c r="H33" s="13"/>
      <x:c r="I33" s="13"/>
      <x:c r="J33" s="13"/>
    </x:row>
    <x:row r="34" customFormat="false" ht="15" hidden="false" customHeight="true" outlineLevel="0" collapsed="false">
      <x:c r="A34" s="13" t="s">
        <x:v>113</x:v>
      </x:c>
      <x:c r="B34" s="13" t="s">
        <x:v>1267</x:v>
      </x:c>
      <x:c r="C34" s="13"/>
      <x:c r="D34" s="13"/>
      <x:c r="E34" s="13"/>
      <x:c r="F34" s="13"/>
      <x:c r="G34" s="13"/>
      <x:c r="H34" s="13"/>
      <x:c r="I34" s="13"/>
      <x:c r="J34" s="13"/>
    </x:row>
  </x:sheetData>
  <x:mergeCells count="6">
    <x:mergeCell ref="A1:J1"/>
    <x:mergeCell ref="A2:J2"/>
    <x:mergeCell ref="A31:J31"/>
    <x:mergeCell ref="B32:J32"/>
    <x:mergeCell ref="B33:J33"/>
    <x:mergeCell ref="B34:J34"/>
  </x:mergeCells>
  <x:conditionalFormatting sqref="B8:I12">
    <x:cfRule type="dataBar" priority="2">
      <x:dataBar showValue="1" minLength="10" maxLength="90">
        <x:cfvo type="min" val="0"/>
        <x:cfvo type="max" val="0"/>
        <x:color rgb="FF2A9D8F"/>
      </x:dataBar>
      <x:extLst>
        <x:ext uri="{B025F937-C7B1-47D3-B67F-A62EFF666E3E}">
          <ns1:id>{43A3C09C-70B2-4713-9F17-2752DAA3288F}</ns1:id>
        </x:ext>
      </x:extLst>
    </x:cfRule>
  </x:conditionalFormatting>
  <x:printOptions headings="false" gridLines="false" gridLinesSet="true" horizontalCentered="false" verticalCentered="false"/>
  <x:pageMargins left="0.7" right="0.7" top="0.75" bottom="0.75"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extLst>
    <x:ext uri="{78C0D931-6437-407d-A8EE-F0AAD7539E65}">
      <ns1:conditionalFormattings>
        <ns1:conditionalFormatting>
          <ns1:cfRule type="dataBar" id="{43A3C09C-70B2-4713-9F17-2752DAA3288F}">
            <ns1:dataBar minLength="10" maxLength="90" axisPosition="automatic" gradient="true">
              <ns1:cfvo type="min"/>
              <ns1:cfvo type="max"/>
              <ns1:negativeFillColor rgb="FF2A9D8F"/>
              <ns1:axisColor rgb="FF000000"/>
            </ns1:dataBar>
          </ns1:cfRule>
          <ns2:sqref>B8:I12</ns2:sqref>
        </ns1:conditionalFormatting>
      </ns1:conditionalFormattings>
    </x:ext>
  </x:extLst>
</x:worksheet>
</file>

<file path=xl/worksheets/sheet3.xml><?xml version="1.0" encoding="utf-8"?>
<x:worksheet xmlns:r="http://schemas.openxmlformats.org/officeDocument/2006/relationships" xmlns:x="http://schemas.openxmlformats.org/spreadsheetml/2006/main">
  <x:sheetPr filterMode="false">
    <x:pageSetUpPr fitToPage="false"/>
  </x:sheetPr>
  <x:dimension ref="A1:Q63"/>
  <x:sheetViews>
    <x:sheetView showFormulas="false" showGridLines="false" showRowColHeaders="true" showZeros="true" rightToLeft="false" tabSelected="false" showOutlineSymbols="true" defaultGridColor="true" view="normal" topLeftCell="A1" colorId="64" zoomScale="100" zoomScaleNormal="100" zoomScalePageLayoutView="100" workbookViewId="0">
      <x:pane topLeftCell="C4" activePane="bottomRight" state="frozen" xSplit="2" ySplit="3"/>
      <x:selection pane="topLeft" activeCell="A1" activeCellId="0" sqref="A1"/>
      <x:selection pane="topRight" activeCell="C1" activeCellId="0" sqref="C1"/>
      <x:selection pane="bottomLeft" activeCell="A4" activeCellId="0" sqref="A4"/>
      <x:selection pane="bottomRight" activeCell="A1" activeCellId="0" sqref="A1"/>
    </x:sheetView>
  </x:sheetViews>
  <x:sheetFormatPr defaultColWidth="8.6796875" defaultRowHeight="15" customHeight="false" zeroHeight="false" outlineLevelRow="0" outlineLevelCol="0"/>
  <x:cols>
    <x:col collapsed="false" customWidth="true" hidden="false" outlineLevel="0" max="1" min="1" style="0" width="8"/>
    <x:col collapsed="false" customWidth="true" hidden="false" outlineLevel="0" max="2" min="2" style="0" width="45"/>
    <x:col collapsed="false" customWidth="true" hidden="false" outlineLevel="0" max="3" min="3" style="0" width="31"/>
    <x:col collapsed="false" customWidth="true" hidden="false" outlineLevel="0" max="4" min="4" style="0" width="17"/>
    <x:col collapsed="false" customWidth="true" hidden="false" outlineLevel="0" max="5" min="5" style="0" width="18"/>
    <x:col collapsed="false" customWidth="true" hidden="false" outlineLevel="0" max="6" min="6" style="0" width="14"/>
    <x:col collapsed="false" customWidth="true" hidden="false" outlineLevel="0" max="7" min="7" style="0" width="35"/>
    <x:col collapsed="false" customWidth="true" hidden="false" outlineLevel="0" max="8" min="8" style="0" width="20"/>
    <x:col collapsed="false" customWidth="true" hidden="false" outlineLevel="0" max="9" min="9" style="0" width="50"/>
    <x:col collapsed="false" customWidth="true" hidden="false" outlineLevel="0" max="10" min="10" style="0" width="28"/>
    <x:col collapsed="false" customWidth="true" hidden="false" outlineLevel="0" max="11" min="11" style="0" width="50"/>
    <x:col collapsed="false" customWidth="true" hidden="false" outlineLevel="0" max="12" min="12" style="0" width="42"/>
    <x:col collapsed="false" customWidth="true" hidden="false" outlineLevel="0" max="13" min="13" style="0" width="47"/>
    <x:col collapsed="false" customWidth="true" hidden="false" outlineLevel="0" max="14" min="14" style="0" width="13"/>
    <x:col collapsed="false" customWidth="true" hidden="false" outlineLevel="0" max="15" min="15" style="0" width="45"/>
    <x:col collapsed="false" customWidth="true" hidden="false" outlineLevel="0" max="16" min="16" style="0" width="43"/>
    <x:col collapsed="false" customWidth="true" hidden="false" outlineLevel="0" max="17" min="17" style="0" width="30"/>
  </x:cols>
  <x:sheetData>
    <x:row r="1" customFormat="false" ht="30" hidden="false" customHeight="true" outlineLevel="0" collapsed="false">
      <x:c r="A1" s="1" t="s">
        <x:v>1268</x:v>
      </x:c>
      <x:c r="B1" s="1"/>
      <x:c r="C1" s="1"/>
      <x:c r="D1" s="1"/>
      <x:c r="E1" s="1"/>
      <x:c r="F1" s="1"/>
      <x:c r="G1" s="1"/>
      <x:c r="H1" s="1"/>
      <x:c r="I1" s="1"/>
      <x:c r="J1" s="1"/>
      <x:c r="K1" s="1"/>
      <x:c r="L1" s="1"/>
      <x:c r="M1" s="1"/>
      <x:c r="N1" s="1"/>
      <x:c r="O1" s="1"/>
      <x:c r="P1" s="1"/>
      <x:c r="Q1" s="1"/>
    </x:row>
    <x:row r="2" customFormat="false" ht="38" hidden="false" customHeight="true" outlineLevel="0" collapsed="false">
      <x:c r="A2" s="2" t="s">
        <x:v>1269</x:v>
      </x:c>
      <x:c r="B2" s="2"/>
      <x:c r="C2" s="2"/>
      <x:c r="D2" s="2"/>
      <x:c r="E2" s="2"/>
      <x:c r="F2" s="2"/>
      <x:c r="G2" s="2"/>
      <x:c r="H2" s="2"/>
      <x:c r="I2" s="2"/>
      <x:c r="J2" s="2"/>
      <x:c r="K2" s="2"/>
      <x:c r="L2" s="2"/>
      <x:c r="M2" s="2"/>
      <x:c r="N2" s="2"/>
      <x:c r="O2" s="2"/>
      <x:c r="P2" s="2"/>
      <x:c r="Q2" s="2"/>
    </x:row>
    <x:row r="3" customFormat="false" ht="42" hidden="false" customHeight="true" outlineLevel="0" collapsed="false">
      <x:c r="A3" s="14" t="s">
        <x:v>3</x:v>
      </x:c>
      <x:c r="B3" s="14" t="s">
        <x:v>1270</x:v>
      </x:c>
      <x:c r="C3" s="14" t="s">
        <x:v>1271</x:v>
      </x:c>
      <x:c r="D3" s="14" t="s">
        <x:v>1272</x:v>
      </x:c>
      <x:c r="E3" s="14" t="s">
        <x:v>1273</x:v>
      </x:c>
      <x:c r="F3" s="14" t="s">
        <x:v>1274</x:v>
      </x:c>
      <x:c r="G3" s="14" t="s">
        <x:v>1275</x:v>
      </x:c>
      <x:c r="H3" s="14" t="s">
        <x:v>1276</x:v>
      </x:c>
      <x:c r="I3" s="14" t="s">
        <x:v>1277</x:v>
      </x:c>
      <x:c r="J3" s="14" t="s">
        <x:v>1278</x:v>
      </x:c>
      <x:c r="K3" s="14" t="s">
        <x:v>1279</x:v>
      </x:c>
      <x:c r="L3" s="14" t="s">
        <x:v>1280</x:v>
      </x:c>
      <x:c r="M3" s="14" t="s">
        <x:v>1281</x:v>
      </x:c>
      <x:c r="N3" s="14" t="s">
        <x:v>1282</x:v>
      </x:c>
      <x:c r="O3" s="14" t="s">
        <x:v>1283</x:v>
      </x:c>
      <x:c r="P3" s="14" t="s">
        <x:v>23</x:v>
      </x:c>
      <x:c r="Q3" s="14" t="s">
        <x:v>1284</x:v>
      </x:c>
    </x:row>
    <x:row r="4" customFormat="false" ht="72" hidden="false" customHeight="true" outlineLevel="0" collapsed="false">
      <x:c r="A4" s="4" t="s">
        <x:v>1285</x:v>
      </x:c>
      <x:c r="B4" s="4" t="s">
        <x:v>1286</x:v>
      </x:c>
      <x:c r="C4" s="4" t="s">
        <x:v>1287</x:v>
      </x:c>
      <x:c r="D4" s="4" t="s">
        <x:v>1288</x:v>
      </x:c>
      <x:c r="E4" s="4" t="s">
        <x:v>1289</x:v>
      </x:c>
      <x:c r="F4" s="4" t="s">
        <x:v>1290</x:v>
      </x:c>
      <x:c r="G4" s="4" t="s">
        <x:v>1291</x:v>
      </x:c>
      <x:c r="H4" s="4" t="s">
        <x:v>1292</x:v>
      </x:c>
      <x:c r="I4" s="6" t="s">
        <x:v>84</x:v>
      </x:c>
      <x:c r="J4" s="4" t="s">
        <x:v>1293</x:v>
      </x:c>
      <x:c r="K4" s="4" t="s">
        <x:v>1294</x:v>
      </x:c>
      <x:c r="L4" s="4" t="s">
        <x:v>1295</x:v>
      </x:c>
      <x:c r="M4" s="6" t="s">
        <x:v>84</x:v>
      </x:c>
      <x:c r="N4" s="4" t="s">
        <x:v>1296</x:v>
      </x:c>
      <x:c r="O4" s="4" t="s">
        <x:v>1297</x:v>
      </x:c>
      <x:c r="P4" s="4" t="s">
        <x:v>1298</x:v>
      </x:c>
      <x:c r="Q4" s="4" t="s">
        <x:v>1299</x:v>
      </x:c>
    </x:row>
    <x:row r="5" customFormat="false" ht="72" hidden="false" customHeight="true" outlineLevel="0" collapsed="false">
      <x:c r="A5" s="4" t="s">
        <x:v>1300</x:v>
      </x:c>
      <x:c r="B5" s="4" t="s">
        <x:v>1301</x:v>
      </x:c>
      <x:c r="C5" s="4" t="s">
        <x:v>1302</x:v>
      </x:c>
      <x:c r="D5" s="4" t="s">
        <x:v>1303</x:v>
      </x:c>
      <x:c r="E5" s="4" t="s">
        <x:v>1304</x:v>
      </x:c>
      <x:c r="F5" s="4" t="s">
        <x:v>1290</x:v>
      </x:c>
      <x:c r="G5" s="4" t="s">
        <x:v>1305</x:v>
      </x:c>
      <x:c r="H5" s="4" t="s">
        <x:v>1292</x:v>
      </x:c>
      <x:c r="I5" s="6" t="s">
        <x:v>44</x:v>
      </x:c>
      <x:c r="J5" s="4" t="s">
        <x:v>1306</x:v>
      </x:c>
      <x:c r="K5" s="4" t="s">
        <x:v>1307</x:v>
      </x:c>
      <x:c r="L5" s="4" t="s">
        <x:v>1308</x:v>
      </x:c>
      <x:c r="M5" s="6" t="s">
        <x:v>1226</x:v>
      </x:c>
      <x:c r="N5" s="4" t="s">
        <x:v>1296</x:v>
      </x:c>
      <x:c r="O5" s="4" t="s">
        <x:v>1297</x:v>
      </x:c>
      <x:c r="P5" s="4" t="s">
        <x:v>1298</x:v>
      </x:c>
      <x:c r="Q5" s="4" t="s">
        <x:v>1309</x:v>
      </x:c>
    </x:row>
    <x:row r="6" customFormat="false" ht="72" hidden="false" customHeight="true" outlineLevel="0" collapsed="false">
      <x:c r="A6" s="4" t="s">
        <x:v>1310</x:v>
      </x:c>
      <x:c r="B6" s="4" t="s">
        <x:v>1311</x:v>
      </x:c>
      <x:c r="C6" s="4" t="s">
        <x:v>1312</x:v>
      </x:c>
      <x:c r="D6" s="4" t="s">
        <x:v>1313</x:v>
      </x:c>
      <x:c r="E6" s="4" t="s">
        <x:v>1289</x:v>
      </x:c>
      <x:c r="F6" s="4" t="s">
        <x:v>1290</x:v>
      </x:c>
      <x:c r="G6" s="4" t="s">
        <x:v>1314</x:v>
      </x:c>
      <x:c r="H6" s="4" t="s">
        <x:v>1292</x:v>
      </x:c>
      <x:c r="I6" s="6" t="s">
        <x:v>1315</x:v>
      </x:c>
      <x:c r="J6" s="4" t="s">
        <x:v>1316</x:v>
      </x:c>
      <x:c r="K6" s="4" t="s">
        <x:v>1317</x:v>
      </x:c>
      <x:c r="L6" s="4" t="s">
        <x:v>1295</x:v>
      </x:c>
      <x:c r="M6" s="6" t="s">
        <x:v>1315</x:v>
      </x:c>
      <x:c r="N6" s="4" t="s">
        <x:v>1296</x:v>
      </x:c>
      <x:c r="O6" s="4" t="s">
        <x:v>1297</x:v>
      </x:c>
      <x:c r="P6" s="4" t="s">
        <x:v>1298</x:v>
      </x:c>
      <x:c r="Q6" s="4" t="s">
        <x:v>1318</x:v>
      </x:c>
    </x:row>
    <x:row r="7" customFormat="false" ht="72" hidden="false" customHeight="true" outlineLevel="0" collapsed="false">
      <x:c r="A7" s="4" t="s">
        <x:v>1319</x:v>
      </x:c>
      <x:c r="B7" s="4" t="s">
        <x:v>1320</x:v>
      </x:c>
      <x:c r="C7" s="4" t="s">
        <x:v>1312</x:v>
      </x:c>
      <x:c r="D7" s="4" t="s">
        <x:v>1313</x:v>
      </x:c>
      <x:c r="E7" s="4" t="s">
        <x:v>1289</x:v>
      </x:c>
      <x:c r="F7" s="4" t="s">
        <x:v>1290</x:v>
      </x:c>
      <x:c r="G7" s="4" t="s">
        <x:v>1321</x:v>
      </x:c>
      <x:c r="H7" s="4" t="s">
        <x:v>1292</x:v>
      </x:c>
      <x:c r="I7" s="6" t="s">
        <x:v>1322</x:v>
      </x:c>
      <x:c r="J7" s="4" t="s">
        <x:v>598</x:v>
      </x:c>
      <x:c r="K7" s="4" t="s">
        <x:v>1323</x:v>
      </x:c>
      <x:c r="L7" s="4" t="s">
        <x:v>1295</x:v>
      </x:c>
      <x:c r="M7" s="6" t="s">
        <x:v>1322</x:v>
      </x:c>
      <x:c r="N7" s="4" t="s">
        <x:v>1296</x:v>
      </x:c>
      <x:c r="O7" s="4" t="s">
        <x:v>1297</x:v>
      </x:c>
      <x:c r="P7" s="4" t="s">
        <x:v>1298</x:v>
      </x:c>
      <x:c r="Q7" s="4" t="s">
        <x:v>1324</x:v>
      </x:c>
    </x:row>
    <x:row r="8" customFormat="false" ht="72" hidden="false" customHeight="true" outlineLevel="0" collapsed="false">
      <x:c r="A8" s="4" t="s">
        <x:v>1325</x:v>
      </x:c>
      <x:c r="B8" s="4" t="s">
        <x:v>1326</x:v>
      </x:c>
      <x:c r="C8" s="4" t="s">
        <x:v>1327</x:v>
      </x:c>
      <x:c r="D8" s="4" t="s">
        <x:v>1313</x:v>
      </x:c>
      <x:c r="E8" s="4" t="s">
        <x:v>1289</x:v>
      </x:c>
      <x:c r="F8" s="4" t="s">
        <x:v>1290</x:v>
      </x:c>
      <x:c r="G8" s="4" t="s">
        <x:v>1328</x:v>
      </x:c>
      <x:c r="H8" s="4" t="s">
        <x:v>1292</x:v>
      </x:c>
      <x:c r="I8" s="6" t="s">
        <x:v>250</x:v>
      </x:c>
      <x:c r="J8" s="4" t="s">
        <x:v>1329</x:v>
      </x:c>
      <x:c r="K8" s="4" t="s">
        <x:v>1330</x:v>
      </x:c>
      <x:c r="L8" s="4" t="s">
        <x:v>1331</x:v>
      </x:c>
      <x:c r="M8" s="6" t="s">
        <x:v>1332</x:v>
      </x:c>
      <x:c r="N8" s="4" t="s">
        <x:v>1296</x:v>
      </x:c>
      <x:c r="O8" s="4" t="s">
        <x:v>1297</x:v>
      </x:c>
      <x:c r="P8" s="4" t="s">
        <x:v>1298</x:v>
      </x:c>
      <x:c r="Q8" s="4" t="s">
        <x:v>1333</x:v>
      </x:c>
    </x:row>
    <x:row r="9" customFormat="false" ht="72" hidden="false" customHeight="true" outlineLevel="0" collapsed="false">
      <x:c r="A9" s="4" t="s">
        <x:v>1334</x:v>
      </x:c>
      <x:c r="B9" s="4" t="s">
        <x:v>1335</x:v>
      </x:c>
      <x:c r="C9" s="4" t="s">
        <x:v>1336</x:v>
      </x:c>
      <x:c r="D9" s="4" t="s">
        <x:v>1337</x:v>
      </x:c>
      <x:c r="E9" s="4" t="s">
        <x:v>1289</x:v>
      </x:c>
      <x:c r="F9" s="4" t="s">
        <x:v>1290</x:v>
      </x:c>
      <x:c r="G9" s="4" t="s">
        <x:v>1338</x:v>
      </x:c>
      <x:c r="H9" s="4" t="s">
        <x:v>1339</x:v>
      </x:c>
      <x:c r="I9" s="6" t="s">
        <x:v>258</x:v>
      </x:c>
      <x:c r="J9" s="4" t="s">
        <x:v>272</x:v>
      </x:c>
      <x:c r="K9" s="4" t="s">
        <x:v>1340</x:v>
      </x:c>
      <x:c r="L9" s="4" t="s">
        <x:v>1295</x:v>
      </x:c>
      <x:c r="M9" s="6" t="s">
        <x:v>258</x:v>
      </x:c>
      <x:c r="N9" s="4" t="s">
        <x:v>1296</x:v>
      </x:c>
      <x:c r="O9" s="4" t="s">
        <x:v>1297</x:v>
      </x:c>
      <x:c r="P9" s="4" t="s">
        <x:v>1298</x:v>
      </x:c>
      <x:c r="Q9" s="4" t="s">
        <x:v>1341</x:v>
      </x:c>
    </x:row>
    <x:row r="10" customFormat="false" ht="72" hidden="false" customHeight="true" outlineLevel="0" collapsed="false">
      <x:c r="A10" s="4" t="s">
        <x:v>1342</x:v>
      </x:c>
      <x:c r="B10" s="4" t="s">
        <x:v>1343</x:v>
      </x:c>
      <x:c r="C10" s="4" t="s">
        <x:v>1344</x:v>
      </x:c>
      <x:c r="D10" s="4" t="s">
        <x:v>1345</x:v>
      </x:c>
      <x:c r="E10" s="4" t="s">
        <x:v>1289</x:v>
      </x:c>
      <x:c r="F10" s="4" t="s">
        <x:v>1290</x:v>
      </x:c>
      <x:c r="G10" s="4" t="s">
        <x:v>1338</x:v>
      </x:c>
      <x:c r="H10" s="4" t="s">
        <x:v>1339</x:v>
      </x:c>
      <x:c r="I10" s="6" t="s">
        <x:v>283</x:v>
      </x:c>
      <x:c r="J10" s="4" t="s">
        <x:v>298</x:v>
      </x:c>
      <x:c r="K10" s="4" t="s">
        <x:v>1346</x:v>
      </x:c>
      <x:c r="L10" s="4" t="s">
        <x:v>1295</x:v>
      </x:c>
      <x:c r="M10" s="6" t="s">
        <x:v>283</x:v>
      </x:c>
      <x:c r="N10" s="4" t="s">
        <x:v>1296</x:v>
      </x:c>
      <x:c r="O10" s="4" t="s">
        <x:v>1297</x:v>
      </x:c>
      <x:c r="P10" s="4" t="s">
        <x:v>1298</x:v>
      </x:c>
      <x:c r="Q10" s="4" t="s">
        <x:v>1347</x:v>
      </x:c>
    </x:row>
    <x:row r="11" customFormat="false" ht="72" hidden="false" customHeight="true" outlineLevel="0" collapsed="false">
      <x:c r="A11" s="4" t="s">
        <x:v>1348</x:v>
      </x:c>
      <x:c r="B11" s="4" t="s">
        <x:v>1349</x:v>
      </x:c>
      <x:c r="C11" s="4" t="s">
        <x:v>1350</x:v>
      </x:c>
      <x:c r="D11" s="4" t="s">
        <x:v>1288</x:v>
      </x:c>
      <x:c r="E11" s="4" t="s">
        <x:v>1289</x:v>
      </x:c>
      <x:c r="F11" s="4" t="s">
        <x:v>1290</x:v>
      </x:c>
      <x:c r="G11" s="4" t="s">
        <x:v>1351</x:v>
      </x:c>
      <x:c r="H11" s="4" t="s">
        <x:v>1292</x:v>
      </x:c>
      <x:c r="I11" s="6" t="s">
        <x:v>310</x:v>
      </x:c>
      <x:c r="J11" s="4" t="s">
        <x:v>1352</x:v>
      </x:c>
      <x:c r="K11" s="4" t="s">
        <x:v>1353</x:v>
      </x:c>
      <x:c r="L11" s="4" t="s">
        <x:v>1295</x:v>
      </x:c>
      <x:c r="M11" s="6" t="s">
        <x:v>310</x:v>
      </x:c>
      <x:c r="N11" s="4" t="s">
        <x:v>1296</x:v>
      </x:c>
      <x:c r="O11" s="4" t="s">
        <x:v>1297</x:v>
      </x:c>
      <x:c r="P11" s="4" t="s">
        <x:v>1298</x:v>
      </x:c>
      <x:c r="Q11" s="4" t="s">
        <x:v>1354</x:v>
      </x:c>
    </x:row>
    <x:row r="12" customFormat="false" ht="72" hidden="false" customHeight="true" outlineLevel="0" collapsed="false">
      <x:c r="A12" s="4" t="s">
        <x:v>1355</x:v>
      </x:c>
      <x:c r="B12" s="4" t="s">
        <x:v>1356</x:v>
      </x:c>
      <x:c r="C12" s="4" t="s">
        <x:v>1327</x:v>
      </x:c>
      <x:c r="D12" s="4" t="s">
        <x:v>1313</x:v>
      </x:c>
      <x:c r="E12" s="4" t="s">
        <x:v>1289</x:v>
      </x:c>
      <x:c r="F12" s="4" t="s">
        <x:v>1290</x:v>
      </x:c>
      <x:c r="G12" s="4" t="s">
        <x:v>1328</x:v>
      </x:c>
      <x:c r="H12" s="4" t="s">
        <x:v>1292</x:v>
      </x:c>
      <x:c r="I12" s="6" t="s">
        <x:v>1357</x:v>
      </x:c>
      <x:c r="J12" s="4" t="s">
        <x:v>1358</x:v>
      </x:c>
      <x:c r="K12" s="4" t="s">
        <x:v>1359</x:v>
      </x:c>
      <x:c r="L12" s="4" t="s">
        <x:v>1331</x:v>
      </x:c>
      <x:c r="M12" s="6" t="s">
        <x:v>1332</x:v>
      </x:c>
      <x:c r="N12" s="4" t="s">
        <x:v>1296</x:v>
      </x:c>
      <x:c r="O12" s="4" t="s">
        <x:v>1297</x:v>
      </x:c>
      <x:c r="P12" s="4" t="s">
        <x:v>1298</x:v>
      </x:c>
      <x:c r="Q12" s="4" t="s">
        <x:v>1360</x:v>
      </x:c>
    </x:row>
    <x:row r="13" customFormat="false" ht="72" hidden="false" customHeight="true" outlineLevel="0" collapsed="false">
      <x:c r="A13" s="4" t="s">
        <x:v>1361</x:v>
      </x:c>
      <x:c r="B13" s="4" t="s">
        <x:v>1362</x:v>
      </x:c>
      <x:c r="C13" s="4" t="s">
        <x:v>1327</x:v>
      </x:c>
      <x:c r="D13" s="4" t="s">
        <x:v>1313</x:v>
      </x:c>
      <x:c r="E13" s="4" t="s">
        <x:v>1289</x:v>
      </x:c>
      <x:c r="F13" s="4" t="s">
        <x:v>1290</x:v>
      </x:c>
      <x:c r="G13" s="4" t="s">
        <x:v>1328</x:v>
      </x:c>
      <x:c r="H13" s="4" t="s">
        <x:v>1292</x:v>
      </x:c>
      <x:c r="I13" s="6" t="s">
        <x:v>261</x:v>
      </x:c>
      <x:c r="J13" s="4" t="s">
        <x:v>1363</x:v>
      </x:c>
      <x:c r="K13" s="4" t="s">
        <x:v>1364</x:v>
      </x:c>
      <x:c r="L13" s="4" t="s">
        <x:v>1331</x:v>
      </x:c>
      <x:c r="M13" s="6" t="s">
        <x:v>1332</x:v>
      </x:c>
      <x:c r="N13" s="4" t="s">
        <x:v>1296</x:v>
      </x:c>
      <x:c r="O13" s="4" t="s">
        <x:v>1297</x:v>
      </x:c>
      <x:c r="P13" s="4" t="s">
        <x:v>1298</x:v>
      </x:c>
      <x:c r="Q13" s="4" t="s">
        <x:v>1365</x:v>
      </x:c>
    </x:row>
    <x:row r="14" customFormat="false" ht="72" hidden="false" customHeight="true" outlineLevel="0" collapsed="false">
      <x:c r="A14" s="4" t="s">
        <x:v>1366</x:v>
      </x:c>
      <x:c r="B14" s="4" t="s">
        <x:v>1367</x:v>
      </x:c>
      <x:c r="C14" s="4" t="s">
        <x:v>1368</x:v>
      </x:c>
      <x:c r="D14" s="4" t="s">
        <x:v>1313</x:v>
      </x:c>
      <x:c r="E14" s="4" t="s">
        <x:v>1289</x:v>
      </x:c>
      <x:c r="F14" s="4" t="s">
        <x:v>1290</x:v>
      </x:c>
      <x:c r="G14" s="4" t="s">
        <x:v>1369</x:v>
      </x:c>
      <x:c r="H14" s="4" t="s">
        <x:v>1370</x:v>
      </x:c>
      <x:c r="I14" s="6" t="s">
        <x:v>374</x:v>
      </x:c>
      <x:c r="J14" s="4" t="s">
        <x:v>1371</x:v>
      </x:c>
      <x:c r="K14" s="4" t="s">
        <x:v>1372</x:v>
      </x:c>
      <x:c r="L14" s="4" t="s">
        <x:v>1373</x:v>
      </x:c>
      <x:c r="M14" s="6" t="s">
        <x:v>1374</x:v>
      </x:c>
      <x:c r="N14" s="4" t="s">
        <x:v>1296</x:v>
      </x:c>
      <x:c r="O14" s="4" t="s">
        <x:v>1297</x:v>
      </x:c>
      <x:c r="P14" s="4" t="s">
        <x:v>1298</x:v>
      </x:c>
      <x:c r="Q14" s="4" t="s">
        <x:v>1375</x:v>
      </x:c>
    </x:row>
    <x:row r="15" customFormat="false" ht="72" hidden="false" customHeight="true" outlineLevel="0" collapsed="false">
      <x:c r="A15" s="4" t="s">
        <x:v>1376</x:v>
      </x:c>
      <x:c r="B15" s="4" t="s">
        <x:v>1377</x:v>
      </x:c>
      <x:c r="C15" s="4" t="s">
        <x:v>1378</x:v>
      </x:c>
      <x:c r="D15" s="4" t="s">
        <x:v>1379</x:v>
      </x:c>
      <x:c r="E15" s="4" t="s">
        <x:v>1289</x:v>
      </x:c>
      <x:c r="F15" s="4" t="s">
        <x:v>1290</x:v>
      </x:c>
      <x:c r="G15" s="4" t="s">
        <x:v>1338</x:v>
      </x:c>
      <x:c r="H15" s="4" t="s">
        <x:v>1339</x:v>
      </x:c>
      <x:c r="I15" s="6" t="s">
        <x:v>377</x:v>
      </x:c>
      <x:c r="J15" s="4" t="s">
        <x:v>376</x:v>
      </x:c>
      <x:c r="K15" s="4" t="s">
        <x:v>1380</x:v>
      </x:c>
      <x:c r="L15" s="4" t="s">
        <x:v>1295</x:v>
      </x:c>
      <x:c r="M15" s="6" t="s">
        <x:v>377</x:v>
      </x:c>
      <x:c r="N15" s="4" t="s">
        <x:v>1296</x:v>
      </x:c>
      <x:c r="O15" s="4" t="s">
        <x:v>1297</x:v>
      </x:c>
      <x:c r="P15" s="4" t="s">
        <x:v>1298</x:v>
      </x:c>
      <x:c r="Q15" s="4" t="s">
        <x:v>366</x:v>
      </x:c>
    </x:row>
    <x:row r="16" customFormat="false" ht="72" hidden="false" customHeight="true" outlineLevel="0" collapsed="false">
      <x:c r="A16" s="4" t="s">
        <x:v>1381</x:v>
      </x:c>
      <x:c r="B16" s="4" t="s">
        <x:v>1382</x:v>
      </x:c>
      <x:c r="C16" s="4" t="s">
        <x:v>1383</x:v>
      </x:c>
      <x:c r="D16" s="4" t="s">
        <x:v>1384</x:v>
      </x:c>
      <x:c r="E16" s="4" t="s">
        <x:v>1289</x:v>
      </x:c>
      <x:c r="F16" s="4" t="s">
        <x:v>1290</x:v>
      </x:c>
      <x:c r="G16" s="4" t="s">
        <x:v>1385</x:v>
      </x:c>
      <x:c r="H16" s="4" t="s">
        <x:v>1292</x:v>
      </x:c>
      <x:c r="I16" s="6" t="s">
        <x:v>1386</x:v>
      </x:c>
      <x:c r="J16" s="4" t="s">
        <x:v>1387</x:v>
      </x:c>
      <x:c r="K16" s="4" t="s">
        <x:v>1388</x:v>
      </x:c>
      <x:c r="L16" s="4" t="s">
        <x:v>1389</x:v>
      </x:c>
      <x:c r="M16" s="6" t="s">
        <x:v>1390</x:v>
      </x:c>
      <x:c r="N16" s="4" t="s">
        <x:v>1296</x:v>
      </x:c>
      <x:c r="O16" s="4" t="s">
        <x:v>1391</x:v>
      </x:c>
      <x:c r="P16" s="4" t="s">
        <x:v>1298</x:v>
      </x:c>
      <x:c r="Q16" s="4" t="s">
        <x:v>404</x:v>
      </x:c>
    </x:row>
    <x:row r="17" customFormat="false" ht="72" hidden="false" customHeight="true" outlineLevel="0" collapsed="false">
      <x:c r="A17" s="4" t="s">
        <x:v>1392</x:v>
      </x:c>
      <x:c r="B17" s="4" t="s">
        <x:v>1393</x:v>
      </x:c>
      <x:c r="C17" s="4" t="s">
        <x:v>1350</x:v>
      </x:c>
      <x:c r="D17" s="4" t="s">
        <x:v>1394</x:v>
      </x:c>
      <x:c r="E17" s="4" t="s">
        <x:v>1289</x:v>
      </x:c>
      <x:c r="F17" s="4" t="s">
        <x:v>1290</x:v>
      </x:c>
      <x:c r="G17" s="4" t="s">
        <x:v>1395</x:v>
      </x:c>
      <x:c r="H17" s="4" t="s">
        <x:v>1292</x:v>
      </x:c>
      <x:c r="I17" s="6" t="s">
        <x:v>437</x:v>
      </x:c>
      <x:c r="J17" s="4" t="s">
        <x:v>433</x:v>
      </x:c>
      <x:c r="K17" s="4" t="s">
        <x:v>1396</x:v>
      </x:c>
      <x:c r="L17" s="4" t="s">
        <x:v>1295</x:v>
      </x:c>
      <x:c r="M17" s="6" t="s">
        <x:v>437</x:v>
      </x:c>
      <x:c r="N17" s="4" t="s">
        <x:v>1296</x:v>
      </x:c>
      <x:c r="O17" s="4" t="s">
        <x:v>1297</x:v>
      </x:c>
      <x:c r="P17" s="4" t="s">
        <x:v>1298</x:v>
      </x:c>
      <x:c r="Q17" s="4" t="s">
        <x:v>430</x:v>
      </x:c>
    </x:row>
    <x:row r="18" customFormat="false" ht="72" hidden="false" customHeight="true" outlineLevel="0" collapsed="false">
      <x:c r="A18" s="4" t="s">
        <x:v>1397</x:v>
      </x:c>
      <x:c r="B18" s="4" t="s">
        <x:v>1398</x:v>
      </x:c>
      <x:c r="C18" s="4" t="s">
        <x:v>1399</x:v>
      </x:c>
      <x:c r="D18" s="4" t="s">
        <x:v>1313</x:v>
      </x:c>
      <x:c r="E18" s="4" t="s">
        <x:v>1289</x:v>
      </x:c>
      <x:c r="F18" s="4" t="s">
        <x:v>1290</x:v>
      </x:c>
      <x:c r="G18" s="4" t="s">
        <x:v>1400</x:v>
      </x:c>
      <x:c r="H18" s="4" t="s">
        <x:v>1292</x:v>
      </x:c>
      <x:c r="I18" s="6" t="s">
        <x:v>457</x:v>
      </x:c>
      <x:c r="J18" s="4" t="s">
        <x:v>453</x:v>
      </x:c>
      <x:c r="K18" s="4" t="s">
        <x:v>1401</x:v>
      </x:c>
      <x:c r="L18" s="4" t="s">
        <x:v>1295</x:v>
      </x:c>
      <x:c r="M18" s="6" t="s">
        <x:v>457</x:v>
      </x:c>
      <x:c r="N18" s="4" t="s">
        <x:v>1296</x:v>
      </x:c>
      <x:c r="O18" s="4" t="s">
        <x:v>1297</x:v>
      </x:c>
      <x:c r="P18" s="4" t="s">
        <x:v>1298</x:v>
      </x:c>
      <x:c r="Q18" s="4" t="s">
        <x:v>450</x:v>
      </x:c>
    </x:row>
    <x:row r="19" customFormat="false" ht="72" hidden="false" customHeight="true" outlineLevel="0" collapsed="false">
      <x:c r="A19" s="4" t="s">
        <x:v>1402</x:v>
      </x:c>
      <x:c r="B19" s="4" t="s">
        <x:v>1403</x:v>
      </x:c>
      <x:c r="C19" s="4" t="s">
        <x:v>1327</x:v>
      </x:c>
      <x:c r="D19" s="4" t="s">
        <x:v>1313</x:v>
      </x:c>
      <x:c r="E19" s="4" t="s">
        <x:v>1289</x:v>
      </x:c>
      <x:c r="F19" s="4" t="s">
        <x:v>1290</x:v>
      </x:c>
      <x:c r="G19" s="4" t="s">
        <x:v>1404</x:v>
      </x:c>
      <x:c r="H19" s="4" t="s">
        <x:v>1292</x:v>
      </x:c>
      <x:c r="I19" s="6" t="s">
        <x:v>467</x:v>
      </x:c>
      <x:c r="J19" s="4" t="s">
        <x:v>1405</x:v>
      </x:c>
      <x:c r="K19" s="4" t="s">
        <x:v>1406</x:v>
      </x:c>
      <x:c r="L19" s="4" t="s">
        <x:v>1331</x:v>
      </x:c>
      <x:c r="M19" s="6" t="s">
        <x:v>1332</x:v>
      </x:c>
      <x:c r="N19" s="4" t="s">
        <x:v>1296</x:v>
      </x:c>
      <x:c r="O19" s="4" t="s">
        <x:v>1297</x:v>
      </x:c>
      <x:c r="P19" s="4" t="s">
        <x:v>1298</x:v>
      </x:c>
      <x:c r="Q19" s="4" t="s">
        <x:v>1407</x:v>
      </x:c>
    </x:row>
    <x:row r="20" customFormat="false" ht="72" hidden="false" customHeight="true" outlineLevel="0" collapsed="false">
      <x:c r="A20" s="4" t="s">
        <x:v>1408</x:v>
      </x:c>
      <x:c r="B20" s="4" t="s">
        <x:v>1409</x:v>
      </x:c>
      <x:c r="C20" s="4" t="s">
        <x:v>1327</x:v>
      </x:c>
      <x:c r="D20" s="4" t="s">
        <x:v>1313</x:v>
      </x:c>
      <x:c r="E20" s="4" t="s">
        <x:v>1289</x:v>
      </x:c>
      <x:c r="F20" s="4" t="s">
        <x:v>1290</x:v>
      </x:c>
      <x:c r="G20" s="4" t="s">
        <x:v>1404</x:v>
      </x:c>
      <x:c r="H20" s="4" t="s">
        <x:v>1292</x:v>
      </x:c>
      <x:c r="I20" s="6" t="s">
        <x:v>542</x:v>
      </x:c>
      <x:c r="J20" s="4" t="s">
        <x:v>1410</x:v>
      </x:c>
      <x:c r="K20" s="4" t="s">
        <x:v>1411</x:v>
      </x:c>
      <x:c r="L20" s="4" t="s">
        <x:v>1331</x:v>
      </x:c>
      <x:c r="M20" s="6" t="s">
        <x:v>1332</x:v>
      </x:c>
      <x:c r="N20" s="4" t="s">
        <x:v>1296</x:v>
      </x:c>
      <x:c r="O20" s="4" t="s">
        <x:v>1297</x:v>
      </x:c>
      <x:c r="P20" s="4" t="s">
        <x:v>1298</x:v>
      </x:c>
      <x:c r="Q20" s="4" t="s">
        <x:v>1412</x:v>
      </x:c>
    </x:row>
    <x:row r="21" customFormat="false" ht="72" hidden="false" customHeight="true" outlineLevel="0" collapsed="false">
      <x:c r="A21" s="4" t="s">
        <x:v>1413</x:v>
      </x:c>
      <x:c r="B21" s="4" t="s">
        <x:v>1414</x:v>
      </x:c>
      <x:c r="C21" s="4" t="s">
        <x:v>1327</x:v>
      </x:c>
      <x:c r="D21" s="4" t="s">
        <x:v>1313</x:v>
      </x:c>
      <x:c r="E21" s="4" t="s">
        <x:v>1289</x:v>
      </x:c>
      <x:c r="F21" s="4" t="s">
        <x:v>1290</x:v>
      </x:c>
      <x:c r="G21" s="4" t="s">
        <x:v>1328</x:v>
      </x:c>
      <x:c r="H21" s="4" t="s">
        <x:v>1292</x:v>
      </x:c>
      <x:c r="I21" s="6" t="s">
        <x:v>573</x:v>
      </x:c>
      <x:c r="J21" s="4" t="s">
        <x:v>569</x:v>
      </x:c>
      <x:c r="K21" s="4" t="s">
        <x:v>1415</x:v>
      </x:c>
      <x:c r="L21" s="4" t="s">
        <x:v>1331</x:v>
      </x:c>
      <x:c r="M21" s="6" t="s">
        <x:v>1332</x:v>
      </x:c>
      <x:c r="N21" s="4" t="s">
        <x:v>1296</x:v>
      </x:c>
      <x:c r="O21" s="4" t="s">
        <x:v>1297</x:v>
      </x:c>
      <x:c r="P21" s="4" t="s">
        <x:v>1298</x:v>
      </x:c>
      <x:c r="Q21" s="4" t="s">
        <x:v>566</x:v>
      </x:c>
    </x:row>
    <x:row r="22" customFormat="false" ht="72" hidden="false" customHeight="true" outlineLevel="0" collapsed="false">
      <x:c r="A22" s="4" t="s">
        <x:v>1416</x:v>
      </x:c>
      <x:c r="B22" s="4" t="s">
        <x:v>1417</x:v>
      </x:c>
      <x:c r="C22" s="4" t="s">
        <x:v>1327</x:v>
      </x:c>
      <x:c r="D22" s="4" t="s">
        <x:v>1313</x:v>
      </x:c>
      <x:c r="E22" s="4" t="s">
        <x:v>1289</x:v>
      </x:c>
      <x:c r="F22" s="4" t="s">
        <x:v>1290</x:v>
      </x:c>
      <x:c r="G22" s="4" t="s">
        <x:v>1404</x:v>
      </x:c>
      <x:c r="H22" s="4" t="s">
        <x:v>1292</x:v>
      </x:c>
      <x:c r="I22" s="6" t="s">
        <x:v>581</x:v>
      </x:c>
      <x:c r="J22" s="4" t="s">
        <x:v>1418</x:v>
      </x:c>
      <x:c r="K22" s="4" t="s">
        <x:v>1419</x:v>
      </x:c>
      <x:c r="L22" s="4" t="s">
        <x:v>1331</x:v>
      </x:c>
      <x:c r="M22" s="6" t="s">
        <x:v>1332</x:v>
      </x:c>
      <x:c r="N22" s="4" t="s">
        <x:v>1296</x:v>
      </x:c>
      <x:c r="O22" s="4" t="s">
        <x:v>1297</x:v>
      </x:c>
      <x:c r="P22" s="4" t="s">
        <x:v>1298</x:v>
      </x:c>
      <x:c r="Q22" s="4" t="s">
        <x:v>1420</x:v>
      </x:c>
    </x:row>
    <x:row r="23" customFormat="false" ht="72" hidden="false" customHeight="true" outlineLevel="0" collapsed="false">
      <x:c r="A23" s="4" t="s">
        <x:v>1421</x:v>
      </x:c>
      <x:c r="B23" s="4" t="s">
        <x:v>1422</x:v>
      </x:c>
      <x:c r="C23" s="4" t="s">
        <x:v>1423</x:v>
      </x:c>
      <x:c r="D23" s="4" t="s">
        <x:v>1424</x:v>
      </x:c>
      <x:c r="E23" s="4" t="s">
        <x:v>1289</x:v>
      </x:c>
      <x:c r="F23" s="4" t="s">
        <x:v>1290</x:v>
      </x:c>
      <x:c r="G23" s="4" t="s">
        <x:v>1338</x:v>
      </x:c>
      <x:c r="H23" s="4" t="s">
        <x:v>1339</x:v>
      </x:c>
      <x:c r="I23" s="6" t="s">
        <x:v>589</x:v>
      </x:c>
      <x:c r="J23" s="4" t="s">
        <x:v>272</x:v>
      </x:c>
      <x:c r="K23" s="4" t="s">
        <x:v>1425</x:v>
      </x:c>
      <x:c r="L23" s="4" t="s">
        <x:v>1295</x:v>
      </x:c>
      <x:c r="M23" s="6" t="s">
        <x:v>589</x:v>
      </x:c>
      <x:c r="N23" s="4" t="s">
        <x:v>1296</x:v>
      </x:c>
      <x:c r="O23" s="4" t="s">
        <x:v>1297</x:v>
      </x:c>
      <x:c r="P23" s="4" t="s">
        <x:v>1298</x:v>
      </x:c>
      <x:c r="Q23" s="4" t="s">
        <x:v>1426</x:v>
      </x:c>
    </x:row>
    <x:row r="24" customFormat="false" ht="72" hidden="false" customHeight="true" outlineLevel="0" collapsed="false">
      <x:c r="A24" s="4" t="s">
        <x:v>1427</x:v>
      </x:c>
      <x:c r="B24" s="4" t="s">
        <x:v>1428</x:v>
      </x:c>
      <x:c r="C24" s="4" t="s">
        <x:v>1429</x:v>
      </x:c>
      <x:c r="D24" s="4" t="s">
        <x:v>1430</x:v>
      </x:c>
      <x:c r="E24" s="4" t="s">
        <x:v>1431</x:v>
      </x:c>
      <x:c r="F24" s="4" t="s">
        <x:v>1290</x:v>
      </x:c>
      <x:c r="G24" s="4" t="s">
        <x:v>1432</x:v>
      </x:c>
      <x:c r="H24" s="4" t="s">
        <x:v>1292</x:v>
      </x:c>
      <x:c r="I24" s="6" t="s">
        <x:v>76</x:v>
      </x:c>
      <x:c r="J24" s="4" t="s">
        <x:v>1433</x:v>
      </x:c>
      <x:c r="K24" s="4" t="s">
        <x:v>1434</x:v>
      </x:c>
      <x:c r="L24" s="4" t="s">
        <x:v>1295</x:v>
      </x:c>
      <x:c r="M24" s="6" t="s">
        <x:v>76</x:v>
      </x:c>
      <x:c r="N24" s="4" t="s">
        <x:v>1296</x:v>
      </x:c>
      <x:c r="O24" s="4" t="s">
        <x:v>1297</x:v>
      </x:c>
      <x:c r="P24" s="4" t="s">
        <x:v>1298</x:v>
      </x:c>
      <x:c r="Q24" s="4" t="s">
        <x:v>1435</x:v>
      </x:c>
    </x:row>
    <x:row r="25" customFormat="false" ht="72" hidden="false" customHeight="true" outlineLevel="0" collapsed="false">
      <x:c r="A25" s="4" t="s">
        <x:v>1436</x:v>
      </x:c>
      <x:c r="B25" s="4" t="s">
        <x:v>1437</x:v>
      </x:c>
      <x:c r="C25" s="4" t="s">
        <x:v>1327</x:v>
      </x:c>
      <x:c r="D25" s="4" t="s">
        <x:v>1313</x:v>
      </x:c>
      <x:c r="E25" s="4" t="s">
        <x:v>1289</x:v>
      </x:c>
      <x:c r="F25" s="4" t="s">
        <x:v>1290</x:v>
      </x:c>
      <x:c r="G25" s="4" t="s">
        <x:v>1404</x:v>
      </x:c>
      <x:c r="H25" s="4" t="s">
        <x:v>1292</x:v>
      </x:c>
      <x:c r="I25" s="6" t="s">
        <x:v>747</x:v>
      </x:c>
      <x:c r="J25" s="4" t="s">
        <x:v>1438</x:v>
      </x:c>
      <x:c r="K25" s="4" t="s">
        <x:v>1439</x:v>
      </x:c>
      <x:c r="L25" s="4" t="s">
        <x:v>1331</x:v>
      </x:c>
      <x:c r="M25" s="6" t="s">
        <x:v>1332</x:v>
      </x:c>
      <x:c r="N25" s="4" t="s">
        <x:v>1296</x:v>
      </x:c>
      <x:c r="O25" s="4" t="s">
        <x:v>1297</x:v>
      </x:c>
      <x:c r="P25" s="4" t="s">
        <x:v>1298</x:v>
      </x:c>
      <x:c r="Q25" s="4" t="s">
        <x:v>1440</x:v>
      </x:c>
    </x:row>
    <x:row r="26" customFormat="false" ht="72" hidden="false" customHeight="true" outlineLevel="0" collapsed="false">
      <x:c r="A26" s="4" t="s">
        <x:v>1441</x:v>
      </x:c>
      <x:c r="B26" s="4" t="s">
        <x:v>1442</x:v>
      </x:c>
      <x:c r="C26" s="4" t="s">
        <x:v>1443</x:v>
      </x:c>
      <x:c r="D26" s="4" t="s">
        <x:v>1313</x:v>
      </x:c>
      <x:c r="E26" s="4" t="s">
        <x:v>1289</x:v>
      </x:c>
      <x:c r="F26" s="4" t="s">
        <x:v>1290</x:v>
      </x:c>
      <x:c r="G26" s="4" t="s">
        <x:v>1404</x:v>
      </x:c>
      <x:c r="H26" s="4" t="s">
        <x:v>1292</x:v>
      </x:c>
      <x:c r="I26" s="6" t="s">
        <x:v>884</x:v>
      </x:c>
      <x:c r="J26" s="4" t="s">
        <x:v>1444</x:v>
      </x:c>
      <x:c r="K26" s="4" t="s">
        <x:v>1445</x:v>
      </x:c>
      <x:c r="L26" s="4" t="s">
        <x:v>1373</x:v>
      </x:c>
      <x:c r="M26" s="6" t="s">
        <x:v>1446</x:v>
      </x:c>
      <x:c r="N26" s="4" t="s">
        <x:v>1296</x:v>
      </x:c>
      <x:c r="O26" s="4" t="s">
        <x:v>1297</x:v>
      </x:c>
      <x:c r="P26" s="4" t="s">
        <x:v>1298</x:v>
      </x:c>
      <x:c r="Q26" s="4" t="s">
        <x:v>1447</x:v>
      </x:c>
    </x:row>
    <x:row r="27" customFormat="false" ht="72" hidden="false" customHeight="true" outlineLevel="0" collapsed="false">
      <x:c r="A27" s="4" t="s">
        <x:v>1448</x:v>
      </x:c>
      <x:c r="B27" s="4" t="s">
        <x:v>1449</x:v>
      </x:c>
      <x:c r="C27" s="4" t="s">
        <x:v>1450</x:v>
      </x:c>
      <x:c r="D27" s="4" t="s">
        <x:v>1313</x:v>
      </x:c>
      <x:c r="E27" s="4" t="s">
        <x:v>1289</x:v>
      </x:c>
      <x:c r="F27" s="4" t="s">
        <x:v>1290</x:v>
      </x:c>
      <x:c r="G27" s="4" t="s">
        <x:v>1451</x:v>
      </x:c>
      <x:c r="H27" s="4" t="s">
        <x:v>1292</x:v>
      </x:c>
      <x:c r="I27" s="6" t="s">
        <x:v>750</x:v>
      </x:c>
      <x:c r="J27" s="4" t="s">
        <x:v>1452</x:v>
      </x:c>
      <x:c r="K27" s="4" t="s">
        <x:v>1453</x:v>
      </x:c>
      <x:c r="L27" s="4" t="s">
        <x:v>1454</x:v>
      </x:c>
      <x:c r="M27" s="6" t="s">
        <x:v>1455</x:v>
      </x:c>
      <x:c r="N27" s="4" t="s">
        <x:v>1296</x:v>
      </x:c>
      <x:c r="O27" s="4" t="s">
        <x:v>1297</x:v>
      </x:c>
      <x:c r="P27" s="4" t="s">
        <x:v>1298</x:v>
      </x:c>
      <x:c r="Q27" s="4" t="s">
        <x:v>1456</x:v>
      </x:c>
    </x:row>
    <x:row r="28" customFormat="false" ht="72" hidden="false" customHeight="true" outlineLevel="0" collapsed="false">
      <x:c r="A28" s="4" t="s">
        <x:v>1457</x:v>
      </x:c>
      <x:c r="B28" s="4" t="s">
        <x:v>1458</x:v>
      </x:c>
      <x:c r="C28" s="4" t="s">
        <x:v>1459</x:v>
      </x:c>
      <x:c r="D28" s="4" t="s">
        <x:v>1460</x:v>
      </x:c>
      <x:c r="E28" s="4" t="s">
        <x:v>1289</x:v>
      </x:c>
      <x:c r="F28" s="4" t="s">
        <x:v>1290</x:v>
      </x:c>
      <x:c r="G28" s="4" t="s">
        <x:v>1461</x:v>
      </x:c>
      <x:c r="H28" s="4" t="s">
        <x:v>1462</x:v>
      </x:c>
      <x:c r="I28" s="6" t="s">
        <x:v>1463</x:v>
      </x:c>
      <x:c r="J28" s="4" t="s">
        <x:v>1464</x:v>
      </x:c>
      <x:c r="K28" s="4" t="s">
        <x:v>1465</x:v>
      </x:c>
      <x:c r="L28" s="4" t="s">
        <x:v>1454</x:v>
      </x:c>
      <x:c r="M28" s="6" t="s">
        <x:v>1061</x:v>
      </x:c>
      <x:c r="N28" s="4" t="s">
        <x:v>1296</x:v>
      </x:c>
      <x:c r="O28" s="4" t="s">
        <x:v>1297</x:v>
      </x:c>
      <x:c r="P28" s="4" t="s">
        <x:v>1298</x:v>
      </x:c>
      <x:c r="Q28" s="4" t="s">
        <x:v>1050</x:v>
      </x:c>
    </x:row>
    <x:row r="29" customFormat="false" ht="72" hidden="false" customHeight="true" outlineLevel="0" collapsed="false">
      <x:c r="A29" s="4" t="s">
        <x:v>1466</x:v>
      </x:c>
      <x:c r="B29" s="4" t="s">
        <x:v>1467</x:v>
      </x:c>
      <x:c r="C29" s="4" t="s">
        <x:v>1459</x:v>
      </x:c>
      <x:c r="D29" s="4" t="s">
        <x:v>1460</x:v>
      </x:c>
      <x:c r="E29" s="4" t="s">
        <x:v>1289</x:v>
      </x:c>
      <x:c r="F29" s="4" t="s">
        <x:v>1290</x:v>
      </x:c>
      <x:c r="G29" s="4" t="s">
        <x:v>1461</x:v>
      </x:c>
      <x:c r="H29" s="4" t="s">
        <x:v>1370</x:v>
      </x:c>
      <x:c r="I29" s="6" t="s">
        <x:v>1468</x:v>
      </x:c>
      <x:c r="J29" s="4" t="s">
        <x:v>1469</x:v>
      </x:c>
      <x:c r="K29" s="4" t="s">
        <x:v>1470</x:v>
      </x:c>
      <x:c r="L29" s="4" t="s">
        <x:v>1454</x:v>
      </x:c>
      <x:c r="M29" s="6" t="s">
        <x:v>1061</x:v>
      </x:c>
      <x:c r="N29" s="4" t="s">
        <x:v>1296</x:v>
      </x:c>
      <x:c r="O29" s="4" t="s">
        <x:v>1297</x:v>
      </x:c>
      <x:c r="P29" s="4" t="s">
        <x:v>1298</x:v>
      </x:c>
      <x:c r="Q29" s="4" t="s">
        <x:v>839</x:v>
      </x:c>
    </x:row>
    <x:row r="30" customFormat="false" ht="72" hidden="false" customHeight="true" outlineLevel="0" collapsed="false">
      <x:c r="A30" s="4" t="s">
        <x:v>1471</x:v>
      </x:c>
      <x:c r="B30" s="4" t="s">
        <x:v>1472</x:v>
      </x:c>
      <x:c r="C30" s="4" t="s">
        <x:v>1459</x:v>
      </x:c>
      <x:c r="D30" s="4" t="s">
        <x:v>1460</x:v>
      </x:c>
      <x:c r="E30" s="4" t="s">
        <x:v>1289</x:v>
      </x:c>
      <x:c r="F30" s="4" t="s">
        <x:v>1290</x:v>
      </x:c>
      <x:c r="G30" s="4" t="s">
        <x:v>1461</x:v>
      </x:c>
      <x:c r="H30" s="4" t="s">
        <x:v>1370</x:v>
      </x:c>
      <x:c r="I30" s="6" t="s">
        <x:v>1473</x:v>
      </x:c>
      <x:c r="J30" s="4" t="s">
        <x:v>837</x:v>
      </x:c>
      <x:c r="K30" s="4" t="s">
        <x:v>1474</x:v>
      </x:c>
      <x:c r="L30" s="4" t="s">
        <x:v>1454</x:v>
      </x:c>
      <x:c r="M30" s="6" t="s">
        <x:v>1061</x:v>
      </x:c>
      <x:c r="N30" s="4" t="s">
        <x:v>1296</x:v>
      </x:c>
      <x:c r="O30" s="4" t="s">
        <x:v>1297</x:v>
      </x:c>
      <x:c r="P30" s="4" t="s">
        <x:v>1298</x:v>
      </x:c>
      <x:c r="Q30" s="4" t="s">
        <x:v>828</x:v>
      </x:c>
    </x:row>
    <x:row r="31" customFormat="false" ht="72" hidden="false" customHeight="true" outlineLevel="0" collapsed="false">
      <x:c r="A31" s="4" t="s">
        <x:v>1475</x:v>
      </x:c>
      <x:c r="B31" s="4" t="s">
        <x:v>1476</x:v>
      </x:c>
      <x:c r="C31" s="4" t="s">
        <x:v>1459</x:v>
      </x:c>
      <x:c r="D31" s="4" t="s">
        <x:v>1460</x:v>
      </x:c>
      <x:c r="E31" s="4" t="s">
        <x:v>1289</x:v>
      </x:c>
      <x:c r="F31" s="4" t="s">
        <x:v>1290</x:v>
      </x:c>
      <x:c r="G31" s="4" t="s">
        <x:v>1461</x:v>
      </x:c>
      <x:c r="H31" s="4" t="s">
        <x:v>1370</x:v>
      </x:c>
      <x:c r="I31" s="6" t="s">
        <x:v>1477</x:v>
      </x:c>
      <x:c r="J31" s="4" t="s">
        <x:v>852</x:v>
      </x:c>
      <x:c r="K31" s="4" t="s">
        <x:v>1478</x:v>
      </x:c>
      <x:c r="L31" s="4" t="s">
        <x:v>1454</x:v>
      </x:c>
      <x:c r="M31" s="6" t="s">
        <x:v>1061</x:v>
      </x:c>
      <x:c r="N31" s="4" t="s">
        <x:v>1296</x:v>
      </x:c>
      <x:c r="O31" s="4" t="s">
        <x:v>1297</x:v>
      </x:c>
      <x:c r="P31" s="4" t="s">
        <x:v>1298</x:v>
      </x:c>
      <x:c r="Q31" s="4" t="s">
        <x:v>849</x:v>
      </x:c>
    </x:row>
    <x:row r="32" customFormat="false" ht="72" hidden="false" customHeight="true" outlineLevel="0" collapsed="false">
      <x:c r="A32" s="4" t="s">
        <x:v>1479</x:v>
      </x:c>
      <x:c r="B32" s="4" t="s">
        <x:v>1480</x:v>
      </x:c>
      <x:c r="C32" s="4" t="s">
        <x:v>1459</x:v>
      </x:c>
      <x:c r="D32" s="4" t="s">
        <x:v>1460</x:v>
      </x:c>
      <x:c r="E32" s="4" t="s">
        <x:v>1289</x:v>
      </x:c>
      <x:c r="F32" s="4" t="s">
        <x:v>1290</x:v>
      </x:c>
      <x:c r="G32" s="4" t="s">
        <x:v>1461</x:v>
      </x:c>
      <x:c r="H32" s="4" t="s">
        <x:v>1370</x:v>
      </x:c>
      <x:c r="I32" s="6" t="s">
        <x:v>1481</x:v>
      </x:c>
      <x:c r="J32" s="4" t="s">
        <x:v>861</x:v>
      </x:c>
      <x:c r="K32" s="4" t="s">
        <x:v>1482</x:v>
      </x:c>
      <x:c r="L32" s="4" t="s">
        <x:v>1454</x:v>
      </x:c>
      <x:c r="M32" s="6" t="s">
        <x:v>1061</x:v>
      </x:c>
      <x:c r="N32" s="4" t="s">
        <x:v>1296</x:v>
      </x:c>
      <x:c r="O32" s="4" t="s">
        <x:v>1297</x:v>
      </x:c>
      <x:c r="P32" s="4" t="s">
        <x:v>1298</x:v>
      </x:c>
      <x:c r="Q32" s="4" t="s">
        <x:v>858</x:v>
      </x:c>
    </x:row>
    <x:row r="33" customFormat="false" ht="72" hidden="false" customHeight="true" outlineLevel="0" collapsed="false">
      <x:c r="A33" s="4" t="s">
        <x:v>1483</x:v>
      </x:c>
      <x:c r="B33" s="4" t="s">
        <x:v>1484</x:v>
      </x:c>
      <x:c r="C33" s="4" t="s">
        <x:v>1459</x:v>
      </x:c>
      <x:c r="D33" s="4" t="s">
        <x:v>1460</x:v>
      </x:c>
      <x:c r="E33" s="4" t="s">
        <x:v>1289</x:v>
      </x:c>
      <x:c r="F33" s="4" t="s">
        <x:v>1290</x:v>
      </x:c>
      <x:c r="G33" s="4" t="s">
        <x:v>1461</x:v>
      </x:c>
      <x:c r="H33" s="4" t="s">
        <x:v>1370</x:v>
      </x:c>
      <x:c r="I33" s="6" t="s">
        <x:v>1485</x:v>
      </x:c>
      <x:c r="J33" s="4" t="s">
        <x:v>875</x:v>
      </x:c>
      <x:c r="K33" s="4" t="s">
        <x:v>1486</x:v>
      </x:c>
      <x:c r="L33" s="4" t="s">
        <x:v>1454</x:v>
      </x:c>
      <x:c r="M33" s="6" t="s">
        <x:v>1061</x:v>
      </x:c>
      <x:c r="N33" s="4" t="s">
        <x:v>1296</x:v>
      </x:c>
      <x:c r="O33" s="4" t="s">
        <x:v>1297</x:v>
      </x:c>
      <x:c r="P33" s="4" t="s">
        <x:v>1298</x:v>
      </x:c>
      <x:c r="Q33" s="4" t="s">
        <x:v>1487</x:v>
      </x:c>
    </x:row>
    <x:row r="34" customFormat="false" ht="72" hidden="false" customHeight="true" outlineLevel="0" collapsed="false">
      <x:c r="A34" s="4" t="s">
        <x:v>1488</x:v>
      </x:c>
      <x:c r="B34" s="4" t="s">
        <x:v>814</x:v>
      </x:c>
      <x:c r="C34" s="4" t="s">
        <x:v>1443</x:v>
      </x:c>
      <x:c r="D34" s="4" t="s">
        <x:v>1313</x:v>
      </x:c>
      <x:c r="E34" s="4" t="s">
        <x:v>1289</x:v>
      </x:c>
      <x:c r="F34" s="4" t="s">
        <x:v>1290</x:v>
      </x:c>
      <x:c r="G34" s="4" t="s">
        <x:v>1404</x:v>
      </x:c>
      <x:c r="H34" s="4" t="s">
        <x:v>1292</x:v>
      </x:c>
      <x:c r="I34" s="6" t="s">
        <x:v>818</x:v>
      </x:c>
      <x:c r="J34" s="4" t="s">
        <x:v>1444</x:v>
      </x:c>
      <x:c r="K34" s="4" t="s">
        <x:v>1489</x:v>
      </x:c>
      <x:c r="L34" s="4" t="s">
        <x:v>1373</x:v>
      </x:c>
      <x:c r="M34" s="6" t="s">
        <x:v>1446</x:v>
      </x:c>
      <x:c r="N34" s="4" t="s">
        <x:v>1296</x:v>
      </x:c>
      <x:c r="O34" s="4" t="s">
        <x:v>1297</x:v>
      </x:c>
      <x:c r="P34" s="4" t="s">
        <x:v>1298</x:v>
      </x:c>
      <x:c r="Q34" s="4" t="s">
        <x:v>811</x:v>
      </x:c>
    </x:row>
    <x:row r="35" customFormat="false" ht="72" hidden="false" customHeight="true" outlineLevel="0" collapsed="false">
      <x:c r="A35" s="4" t="s">
        <x:v>1490</x:v>
      </x:c>
      <x:c r="B35" s="4" t="s">
        <x:v>1491</x:v>
      </x:c>
      <x:c r="C35" s="4" t="s">
        <x:v>1443</x:v>
      </x:c>
      <x:c r="D35" s="4" t="s">
        <x:v>1313</x:v>
      </x:c>
      <x:c r="E35" s="4" t="s">
        <x:v>1289</x:v>
      </x:c>
      <x:c r="F35" s="4" t="s">
        <x:v>1290</x:v>
      </x:c>
      <x:c r="G35" s="4" t="s">
        <x:v>1492</x:v>
      </x:c>
      <x:c r="H35" s="4" t="s">
        <x:v>1292</x:v>
      </x:c>
      <x:c r="I35" s="6" t="s">
        <x:v>532</x:v>
      </x:c>
      <x:c r="J35" s="4" t="s">
        <x:v>1033</x:v>
      </x:c>
      <x:c r="K35" s="4" t="s">
        <x:v>1493</x:v>
      </x:c>
      <x:c r="L35" s="4" t="s">
        <x:v>1373</x:v>
      </x:c>
      <x:c r="M35" s="6" t="s">
        <x:v>1446</x:v>
      </x:c>
      <x:c r="N35" s="4" t="s">
        <x:v>1296</x:v>
      </x:c>
      <x:c r="O35" s="4" t="s">
        <x:v>1297</x:v>
      </x:c>
      <x:c r="P35" s="4" t="s">
        <x:v>1298</x:v>
      </x:c>
      <x:c r="Q35" s="4" t="s">
        <x:v>1494</x:v>
      </x:c>
    </x:row>
    <x:row r="36" customFormat="false" ht="72" hidden="false" customHeight="true" outlineLevel="0" collapsed="false">
      <x:c r="A36" s="4" t="s">
        <x:v>1495</x:v>
      </x:c>
      <x:c r="B36" s="4" t="s">
        <x:v>1496</x:v>
      </x:c>
      <x:c r="C36" s="4" t="s">
        <x:v>1327</x:v>
      </x:c>
      <x:c r="D36" s="4" t="s">
        <x:v>1313</x:v>
      </x:c>
      <x:c r="E36" s="4" t="s">
        <x:v>1289</x:v>
      </x:c>
      <x:c r="F36" s="4" t="s">
        <x:v>1290</x:v>
      </x:c>
      <x:c r="G36" s="4" t="s">
        <x:v>1404</x:v>
      </x:c>
      <x:c r="H36" s="4" t="s">
        <x:v>1292</x:v>
      </x:c>
      <x:c r="I36" s="6" t="s">
        <x:v>1497</x:v>
      </x:c>
      <x:c r="J36" s="4" t="s">
        <x:v>1498</x:v>
      </x:c>
      <x:c r="K36" s="4" t="s">
        <x:v>1499</x:v>
      </x:c>
      <x:c r="L36" s="4" t="s">
        <x:v>1331</x:v>
      </x:c>
      <x:c r="M36" s="6" t="s">
        <x:v>1332</x:v>
      </x:c>
      <x:c r="N36" s="4" t="s">
        <x:v>1296</x:v>
      </x:c>
      <x:c r="O36" s="4" t="s">
        <x:v>1297</x:v>
      </x:c>
      <x:c r="P36" s="4" t="s">
        <x:v>1298</x:v>
      </x:c>
      <x:c r="Q36" s="4" t="s">
        <x:v>558</x:v>
      </x:c>
    </x:row>
    <x:row r="37" customFormat="false" ht="72" hidden="false" customHeight="true" outlineLevel="0" collapsed="false">
      <x:c r="A37" s="4" t="s">
        <x:v>1500</x:v>
      </x:c>
      <x:c r="B37" s="4" t="s">
        <x:v>1501</x:v>
      </x:c>
      <x:c r="C37" s="4" t="s">
        <x:v>1327</x:v>
      </x:c>
      <x:c r="D37" s="4" t="s">
        <x:v>1313</x:v>
      </x:c>
      <x:c r="E37" s="4" t="s">
        <x:v>1289</x:v>
      </x:c>
      <x:c r="F37" s="4" t="s">
        <x:v>1290</x:v>
      </x:c>
      <x:c r="G37" s="4" t="s">
        <x:v>1404</x:v>
      </x:c>
      <x:c r="H37" s="4" t="s">
        <x:v>1292</x:v>
      </x:c>
      <x:c r="I37" s="6" t="s">
        <x:v>821</x:v>
      </x:c>
      <x:c r="J37" s="4" t="s">
        <x:v>1502</x:v>
      </x:c>
      <x:c r="K37" s="4" t="s">
        <x:v>1503</x:v>
      </x:c>
      <x:c r="L37" s="4" t="s">
        <x:v>1331</x:v>
      </x:c>
      <x:c r="M37" s="6" t="s">
        <x:v>1332</x:v>
      </x:c>
      <x:c r="N37" s="4" t="s">
        <x:v>1296</x:v>
      </x:c>
      <x:c r="O37" s="4" t="s">
        <x:v>1297</x:v>
      </x:c>
      <x:c r="P37" s="4" t="s">
        <x:v>1298</x:v>
      </x:c>
      <x:c r="Q37" s="4" t="s">
        <x:v>811</x:v>
      </x:c>
    </x:row>
    <x:row r="38" customFormat="false" ht="72" hidden="false" customHeight="true" outlineLevel="0" collapsed="false">
      <x:c r="A38" s="4" t="s">
        <x:v>1504</x:v>
      </x:c>
      <x:c r="B38" s="4" t="s">
        <x:v>1505</x:v>
      </x:c>
      <x:c r="C38" s="4" t="s">
        <x:v>1506</x:v>
      </x:c>
      <x:c r="D38" s="4" t="s">
        <x:v>1313</x:v>
      </x:c>
      <x:c r="E38" s="4" t="s">
        <x:v>1289</x:v>
      </x:c>
      <x:c r="F38" s="4" t="s">
        <x:v>1290</x:v>
      </x:c>
      <x:c r="G38" s="4" t="s">
        <x:v>1507</x:v>
      </x:c>
      <x:c r="H38" s="4" t="s">
        <x:v>1292</x:v>
      </x:c>
      <x:c r="I38" s="6" t="s">
        <x:v>910</x:v>
      </x:c>
      <x:c r="J38" s="4" t="s">
        <x:v>890</x:v>
      </x:c>
      <x:c r="K38" s="4" t="s">
        <x:v>1508</x:v>
      </x:c>
      <x:c r="L38" s="4" t="s">
        <x:v>1295</x:v>
      </x:c>
      <x:c r="M38" s="6" t="s">
        <x:v>910</x:v>
      </x:c>
      <x:c r="N38" s="4" t="s">
        <x:v>1296</x:v>
      </x:c>
      <x:c r="O38" s="4" t="s">
        <x:v>1297</x:v>
      </x:c>
      <x:c r="P38" s="4" t="s">
        <x:v>1298</x:v>
      </x:c>
      <x:c r="Q38" s="4" t="s">
        <x:v>1509</x:v>
      </x:c>
    </x:row>
    <x:row r="39" customFormat="false" ht="72" hidden="false" customHeight="true" outlineLevel="0" collapsed="false">
      <x:c r="A39" s="4" t="s">
        <x:v>1510</x:v>
      </x:c>
      <x:c r="B39" s="4" t="s">
        <x:v>1511</x:v>
      </x:c>
      <x:c r="C39" s="4" t="s">
        <x:v>1512</x:v>
      </x:c>
      <x:c r="D39" s="4" t="s">
        <x:v>1513</x:v>
      </x:c>
      <x:c r="E39" s="4" t="s">
        <x:v>1289</x:v>
      </x:c>
      <x:c r="F39" s="4" t="s">
        <x:v>1290</x:v>
      </x:c>
      <x:c r="G39" s="4" t="s">
        <x:v>1514</x:v>
      </x:c>
      <x:c r="H39" s="4" t="s">
        <x:v>1292</x:v>
      </x:c>
      <x:c r="I39" s="6" t="s">
        <x:v>898</x:v>
      </x:c>
      <x:c r="J39" s="4" t="s">
        <x:v>272</x:v>
      </x:c>
      <x:c r="K39" s="4" t="s">
        <x:v>1515</x:v>
      </x:c>
      <x:c r="L39" s="4" t="s">
        <x:v>1295</x:v>
      </x:c>
      <x:c r="M39" s="6" t="s">
        <x:v>898</x:v>
      </x:c>
      <x:c r="N39" s="4" t="s">
        <x:v>1296</x:v>
      </x:c>
      <x:c r="O39" s="4" t="s">
        <x:v>1297</x:v>
      </x:c>
      <x:c r="P39" s="4" t="s">
        <x:v>1298</x:v>
      </x:c>
      <x:c r="Q39" s="4" t="s">
        <x:v>1516</x:v>
      </x:c>
    </x:row>
    <x:row r="40" customFormat="false" ht="72" hidden="false" customHeight="true" outlineLevel="0" collapsed="false">
      <x:c r="A40" s="4" t="s">
        <x:v>1517</x:v>
      </x:c>
      <x:c r="B40" s="4" t="s">
        <x:v>1518</x:v>
      </x:c>
      <x:c r="C40" s="4" t="s">
        <x:v>1506</x:v>
      </x:c>
      <x:c r="D40" s="4" t="s">
        <x:v>1313</x:v>
      </x:c>
      <x:c r="E40" s="4" t="s">
        <x:v>1289</x:v>
      </x:c>
      <x:c r="F40" s="4" t="s">
        <x:v>1290</x:v>
      </x:c>
      <x:c r="G40" s="4" t="s">
        <x:v>1507</x:v>
      </x:c>
      <x:c r="H40" s="4" t="s">
        <x:v>1292</x:v>
      </x:c>
      <x:c r="I40" s="6" t="s">
        <x:v>952</x:v>
      </x:c>
      <x:c r="J40" s="4" t="s">
        <x:v>1519</x:v>
      </x:c>
      <x:c r="K40" s="4" t="s">
        <x:v>1520</x:v>
      </x:c>
      <x:c r="L40" s="4" t="s">
        <x:v>1295</x:v>
      </x:c>
      <x:c r="M40" s="6" t="s">
        <x:v>952</x:v>
      </x:c>
      <x:c r="N40" s="4" t="s">
        <x:v>1296</x:v>
      </x:c>
      <x:c r="O40" s="4" t="s">
        <x:v>1297</x:v>
      </x:c>
      <x:c r="P40" s="4" t="s">
        <x:v>1298</x:v>
      </x:c>
      <x:c r="Q40" s="4" t="s">
        <x:v>943</x:v>
      </x:c>
    </x:row>
    <x:row r="41" customFormat="false" ht="72" hidden="false" customHeight="true" outlineLevel="0" collapsed="false">
      <x:c r="A41" s="4" t="s">
        <x:v>1521</x:v>
      </x:c>
      <x:c r="B41" s="4" t="s">
        <x:v>1522</x:v>
      </x:c>
      <x:c r="C41" s="4" t="s">
        <x:v>1523</x:v>
      </x:c>
      <x:c r="D41" s="4" t="s">
        <x:v>1384</x:v>
      </x:c>
      <x:c r="E41" s="4" t="s">
        <x:v>1289</x:v>
      </x:c>
      <x:c r="F41" s="4" t="s">
        <x:v>1290</x:v>
      </x:c>
      <x:c r="G41" s="4" t="s">
        <x:v>1524</x:v>
      </x:c>
      <x:c r="H41" s="4" t="s">
        <x:v>1339</x:v>
      </x:c>
      <x:c r="I41" s="6" t="s">
        <x:v>964</x:v>
      </x:c>
      <x:c r="J41" s="4" t="s">
        <x:v>958</x:v>
      </x:c>
      <x:c r="K41" s="4" t="s">
        <x:v>1525</x:v>
      </x:c>
      <x:c r="L41" s="4" t="s">
        <x:v>1526</x:v>
      </x:c>
      <x:c r="M41" s="6" t="s">
        <x:v>1527</x:v>
      </x:c>
      <x:c r="N41" s="4" t="s">
        <x:v>1296</x:v>
      </x:c>
      <x:c r="O41" s="4" t="s">
        <x:v>1297</x:v>
      </x:c>
      <x:c r="P41" s="4" t="s">
        <x:v>1298</x:v>
      </x:c>
      <x:c r="Q41" s="4" t="s">
        <x:v>954</x:v>
      </x:c>
    </x:row>
    <x:row r="42" customFormat="false" ht="72" hidden="false" customHeight="true" outlineLevel="0" collapsed="false">
      <x:c r="A42" s="4" t="s">
        <x:v>1528</x:v>
      </x:c>
      <x:c r="B42" s="4" t="s">
        <x:v>1529</x:v>
      </x:c>
      <x:c r="C42" s="4" t="s">
        <x:v>1443</x:v>
      </x:c>
      <x:c r="D42" s="4" t="s">
        <x:v>1313</x:v>
      </x:c>
      <x:c r="E42" s="4" t="s">
        <x:v>1289</x:v>
      </x:c>
      <x:c r="F42" s="4" t="s">
        <x:v>1290</x:v>
      </x:c>
      <x:c r="G42" s="4" t="s">
        <x:v>1492</x:v>
      </x:c>
      <x:c r="H42" s="4" t="s">
        <x:v>1292</x:v>
      </x:c>
      <x:c r="I42" s="6" t="s">
        <x:v>997</x:v>
      </x:c>
      <x:c r="J42" s="4" t="s">
        <x:v>991</x:v>
      </x:c>
      <x:c r="K42" s="4" t="s">
        <x:v>1530</x:v>
      </x:c>
      <x:c r="L42" s="4" t="s">
        <x:v>1373</x:v>
      </x:c>
      <x:c r="M42" s="6" t="s">
        <x:v>1446</x:v>
      </x:c>
      <x:c r="N42" s="4" t="s">
        <x:v>1296</x:v>
      </x:c>
      <x:c r="O42" s="4" t="s">
        <x:v>1297</x:v>
      </x:c>
      <x:c r="P42" s="4" t="s">
        <x:v>1298</x:v>
      </x:c>
      <x:c r="Q42" s="4" t="s">
        <x:v>1531</x:v>
      </x:c>
    </x:row>
    <x:row r="43" customFormat="false" ht="72" hidden="false" customHeight="true" outlineLevel="0" collapsed="false">
      <x:c r="A43" s="4" t="s">
        <x:v>1532</x:v>
      </x:c>
      <x:c r="B43" s="4" t="s">
        <x:v>1533</x:v>
      </x:c>
      <x:c r="C43" s="4" t="s">
        <x:v>1534</x:v>
      </x:c>
      <x:c r="D43" s="4" t="s">
        <x:v>1535</x:v>
      </x:c>
      <x:c r="E43" s="4" t="s">
        <x:v>1289</x:v>
      </x:c>
      <x:c r="F43" s="4" t="s">
        <x:v>1290</x:v>
      </x:c>
      <x:c r="G43" s="4" t="s">
        <x:v>1524</x:v>
      </x:c>
      <x:c r="H43" s="4" t="s">
        <x:v>1339</x:v>
      </x:c>
      <x:c r="I43" s="6" t="s">
        <x:v>1007</x:v>
      </x:c>
      <x:c r="J43" s="4" t="s">
        <x:v>1001</x:v>
      </x:c>
      <x:c r="K43" s="4" t="s">
        <x:v>1536</x:v>
      </x:c>
      <x:c r="L43" s="4" t="s">
        <x:v>1295</x:v>
      </x:c>
      <x:c r="M43" s="6" t="s">
        <x:v>1007</x:v>
      </x:c>
      <x:c r="N43" s="4" t="s">
        <x:v>1296</x:v>
      </x:c>
      <x:c r="O43" s="4" t="s">
        <x:v>1297</x:v>
      </x:c>
      <x:c r="P43" s="4" t="s">
        <x:v>1298</x:v>
      </x:c>
      <x:c r="Q43" s="4" t="s">
        <x:v>998</x:v>
      </x:c>
    </x:row>
    <x:row r="44" customFormat="false" ht="72" hidden="false" customHeight="true" outlineLevel="0" collapsed="false">
      <x:c r="A44" s="4" t="s">
        <x:v>1537</x:v>
      </x:c>
      <x:c r="B44" s="4" t="s">
        <x:v>1538</x:v>
      </x:c>
      <x:c r="C44" s="4" t="s">
        <x:v>1539</x:v>
      </x:c>
      <x:c r="D44" s="4" t="s">
        <x:v>1313</x:v>
      </x:c>
      <x:c r="E44" s="4" t="s">
        <x:v>1289</x:v>
      </x:c>
      <x:c r="F44" s="4" t="s">
        <x:v>1290</x:v>
      </x:c>
      <x:c r="G44" s="4" t="s">
        <x:v>1492</x:v>
      </x:c>
      <x:c r="H44" s="4" t="s">
        <x:v>1292</x:v>
      </x:c>
      <x:c r="I44" s="6" t="s">
        <x:v>1540</x:v>
      </x:c>
      <x:c r="J44" s="4" t="s">
        <x:v>1011</x:v>
      </x:c>
      <x:c r="K44" s="4" t="s">
        <x:v>1541</x:v>
      </x:c>
      <x:c r="L44" s="4" t="s">
        <x:v>1542</x:v>
      </x:c>
      <x:c r="M44" s="6" t="s">
        <x:v>1543</x:v>
      </x:c>
      <x:c r="N44" s="4" t="s">
        <x:v>1296</x:v>
      </x:c>
      <x:c r="O44" s="4" t="s">
        <x:v>1297</x:v>
      </x:c>
      <x:c r="P44" s="4" t="s">
        <x:v>1298</x:v>
      </x:c>
      <x:c r="Q44" s="4" t="s">
        <x:v>1008</x:v>
      </x:c>
    </x:row>
    <x:row r="45" customFormat="false" ht="72" hidden="false" customHeight="true" outlineLevel="0" collapsed="false">
      <x:c r="A45" s="4" t="s">
        <x:v>1544</x:v>
      </x:c>
      <x:c r="B45" s="4" t="s">
        <x:v>1545</x:v>
      </x:c>
      <x:c r="C45" s="4" t="s">
        <x:v>1539</x:v>
      </x:c>
      <x:c r="D45" s="4" t="s">
        <x:v>1313</x:v>
      </x:c>
      <x:c r="E45" s="4" t="s">
        <x:v>1289</x:v>
      </x:c>
      <x:c r="F45" s="4" t="s">
        <x:v>1290</x:v>
      </x:c>
      <x:c r="G45" s="4" t="s">
        <x:v>1492</x:v>
      </x:c>
      <x:c r="H45" s="4" t="s">
        <x:v>1292</x:v>
      </x:c>
      <x:c r="I45" s="6" t="s">
        <x:v>1027</x:v>
      </x:c>
      <x:c r="J45" s="4" t="s">
        <x:v>1022</x:v>
      </x:c>
      <x:c r="K45" s="4" t="s">
        <x:v>1546</x:v>
      </x:c>
      <x:c r="L45" s="4" t="s">
        <x:v>1542</x:v>
      </x:c>
      <x:c r="M45" s="6" t="s">
        <x:v>1543</x:v>
      </x:c>
      <x:c r="N45" s="4" t="s">
        <x:v>1296</x:v>
      </x:c>
      <x:c r="O45" s="4" t="s">
        <x:v>1297</x:v>
      </x:c>
      <x:c r="P45" s="4" t="s">
        <x:v>1298</x:v>
      </x:c>
      <x:c r="Q45" s="4" t="s">
        <x:v>1019</x:v>
      </x:c>
    </x:row>
    <x:row r="46" customFormat="false" ht="72" hidden="false" customHeight="true" outlineLevel="0" collapsed="false">
      <x:c r="A46" s="4" t="s">
        <x:v>1547</x:v>
      </x:c>
      <x:c r="B46" s="4" t="s">
        <x:v>1548</x:v>
      </x:c>
      <x:c r="C46" s="4" t="s">
        <x:v>1443</x:v>
      </x:c>
      <x:c r="D46" s="4" t="s">
        <x:v>1313</x:v>
      </x:c>
      <x:c r="E46" s="4" t="s">
        <x:v>1289</x:v>
      </x:c>
      <x:c r="F46" s="4" t="s">
        <x:v>1290</x:v>
      </x:c>
      <x:c r="G46" s="4" t="s">
        <x:v>1492</x:v>
      </x:c>
      <x:c r="H46" s="4" t="s">
        <x:v>1292</x:v>
      </x:c>
      <x:c r="I46" s="6" t="s">
        <x:v>1030</x:v>
      </x:c>
      <x:c r="J46" s="4" t="s">
        <x:v>1044</x:v>
      </x:c>
      <x:c r="K46" s="4" t="s">
        <x:v>1549</x:v>
      </x:c>
      <x:c r="L46" s="4" t="s">
        <x:v>1373</x:v>
      </x:c>
      <x:c r="M46" s="6" t="s">
        <x:v>1446</x:v>
      </x:c>
      <x:c r="N46" s="4" t="s">
        <x:v>1296</x:v>
      </x:c>
      <x:c r="O46" s="4" t="s">
        <x:v>1297</x:v>
      </x:c>
      <x:c r="P46" s="4" t="s">
        <x:v>1298</x:v>
      </x:c>
      <x:c r="Q46" s="4" t="s">
        <x:v>1550</x:v>
      </x:c>
    </x:row>
    <x:row r="47" customFormat="false" ht="72" hidden="false" customHeight="true" outlineLevel="0" collapsed="false">
      <x:c r="A47" s="4" t="s">
        <x:v>1551</x:v>
      </x:c>
      <x:c r="B47" s="4" t="s">
        <x:v>1552</x:v>
      </x:c>
      <x:c r="C47" s="4" t="s">
        <x:v>1327</x:v>
      </x:c>
      <x:c r="D47" s="4" t="s">
        <x:v>1313</x:v>
      </x:c>
      <x:c r="E47" s="4" t="s">
        <x:v>1289</x:v>
      </x:c>
      <x:c r="F47" s="4" t="s">
        <x:v>1290</x:v>
      </x:c>
      <x:c r="G47" s="4" t="s">
        <x:v>1328</x:v>
      </x:c>
      <x:c r="H47" s="4" t="s">
        <x:v>1292</x:v>
      </x:c>
      <x:c r="I47" s="6" t="s">
        <x:v>1041</x:v>
      </x:c>
      <x:c r="J47" s="4" t="s">
        <x:v>1040</x:v>
      </x:c>
      <x:c r="K47" s="4" t="s">
        <x:v>1553</x:v>
      </x:c>
      <x:c r="L47" s="4" t="s">
        <x:v>1331</x:v>
      </x:c>
      <x:c r="M47" s="6" t="s">
        <x:v>1332</x:v>
      </x:c>
      <x:c r="N47" s="4" t="s">
        <x:v>1296</x:v>
      </x:c>
      <x:c r="O47" s="4" t="s">
        <x:v>1297</x:v>
      </x:c>
      <x:c r="P47" s="4" t="s">
        <x:v>1298</x:v>
      </x:c>
      <x:c r="Q47" s="4" t="s">
        <x:v>1031</x:v>
      </x:c>
    </x:row>
    <x:row r="48" customFormat="false" ht="72" hidden="false" customHeight="true" outlineLevel="0" collapsed="false">
      <x:c r="A48" s="4" t="s">
        <x:v>1554</x:v>
      </x:c>
      <x:c r="B48" s="4" t="s">
        <x:v>1555</x:v>
      </x:c>
      <x:c r="C48" s="4" t="s">
        <x:v>1556</x:v>
      </x:c>
      <x:c r="D48" s="4" t="s">
        <x:v>1384</x:v>
      </x:c>
      <x:c r="E48" s="4" t="s">
        <x:v>1557</x:v>
      </x:c>
      <x:c r="F48" s="4" t="s">
        <x:v>1290</x:v>
      </x:c>
      <x:c r="G48" s="4" t="s">
        <x:v>1558</x:v>
      </x:c>
      <x:c r="H48" s="4" t="s">
        <x:v>1292</x:v>
      </x:c>
      <x:c r="I48" s="6" t="s">
        <x:v>1073</x:v>
      </x:c>
      <x:c r="J48" s="4" t="s">
        <x:v>1053</x:v>
      </x:c>
      <x:c r="K48" s="4" t="s">
        <x:v>1559</x:v>
      </x:c>
      <x:c r="L48" s="4" t="s">
        <x:v>1295</x:v>
      </x:c>
      <x:c r="M48" s="6" t="s">
        <x:v>1073</x:v>
      </x:c>
      <x:c r="N48" s="4" t="s">
        <x:v>1296</x:v>
      </x:c>
      <x:c r="O48" s="4" t="s">
        <x:v>1297</x:v>
      </x:c>
      <x:c r="P48" s="4" t="s">
        <x:v>1298</x:v>
      </x:c>
      <x:c r="Q48" s="4" t="s">
        <x:v>1560</x:v>
      </x:c>
    </x:row>
    <x:row r="49" customFormat="false" ht="72" hidden="false" customHeight="true" outlineLevel="0" collapsed="false">
      <x:c r="A49" s="4" t="s">
        <x:v>1561</x:v>
      </x:c>
      <x:c r="B49" s="4" t="s">
        <x:v>1562</x:v>
      </x:c>
      <x:c r="C49" s="4" t="s">
        <x:v>1563</x:v>
      </x:c>
      <x:c r="D49" s="4" t="s">
        <x:v>1460</x:v>
      </x:c>
      <x:c r="E49" s="4" t="s">
        <x:v>1289</x:v>
      </x:c>
      <x:c r="F49" s="4" t="s">
        <x:v>1290</x:v>
      </x:c>
      <x:c r="G49" s="4" t="s">
        <x:v>1564</x:v>
      </x:c>
      <x:c r="H49" s="4" t="s">
        <x:v>1292</x:v>
      </x:c>
      <x:c r="I49" s="6" t="s">
        <x:v>1071</x:v>
      </x:c>
      <x:c r="J49" s="4" t="s">
        <x:v>1066</x:v>
      </x:c>
      <x:c r="K49" s="4" t="s">
        <x:v>1565</x:v>
      </x:c>
      <x:c r="L49" s="4" t="s">
        <x:v>1566</x:v>
      </x:c>
      <x:c r="M49" s="6" t="s">
        <x:v>1567</x:v>
      </x:c>
      <x:c r="N49" s="4" t="s">
        <x:v>1296</x:v>
      </x:c>
      <x:c r="O49" s="4" t="s">
        <x:v>1297</x:v>
      </x:c>
      <x:c r="P49" s="4" t="s">
        <x:v>1298</x:v>
      </x:c>
      <x:c r="Q49" s="4" t="s">
        <x:v>1063</x:v>
      </x:c>
    </x:row>
    <x:row r="50" customFormat="false" ht="72" hidden="false" customHeight="true" outlineLevel="0" collapsed="false">
      <x:c r="A50" s="4" t="s">
        <x:v>1568</x:v>
      </x:c>
      <x:c r="B50" s="4" t="s">
        <x:v>1569</x:v>
      </x:c>
      <x:c r="C50" s="4" t="s">
        <x:v>1570</x:v>
      </x:c>
      <x:c r="D50" s="4" t="s">
        <x:v>1513</x:v>
      </x:c>
      <x:c r="E50" s="4" t="s">
        <x:v>1289</x:v>
      </x:c>
      <x:c r="F50" s="4" t="s">
        <x:v>1290</x:v>
      </x:c>
      <x:c r="G50" s="4" t="s">
        <x:v>1571</x:v>
      </x:c>
      <x:c r="H50" s="4" t="s">
        <x:v>1292</x:v>
      </x:c>
      <x:c r="I50" s="6" t="s">
        <x:v>1084</x:v>
      </x:c>
      <x:c r="J50" s="4" t="s">
        <x:v>1078</x:v>
      </x:c>
      <x:c r="K50" s="4" t="s">
        <x:v>1572</x:v>
      </x:c>
      <x:c r="L50" s="4" t="s">
        <x:v>1295</x:v>
      </x:c>
      <x:c r="M50" s="6" t="s">
        <x:v>1084</x:v>
      </x:c>
      <x:c r="N50" s="4" t="s">
        <x:v>1296</x:v>
      </x:c>
      <x:c r="O50" s="4" t="s">
        <x:v>1297</x:v>
      </x:c>
      <x:c r="P50" s="4" t="s">
        <x:v>1298</x:v>
      </x:c>
      <x:c r="Q50" s="4" t="s">
        <x:v>1075</x:v>
      </x:c>
    </x:row>
    <x:row r="51" customFormat="false" ht="72" hidden="false" customHeight="true" outlineLevel="0" collapsed="false">
      <x:c r="A51" s="4" t="s">
        <x:v>1573</x:v>
      </x:c>
      <x:c r="B51" s="4" t="s">
        <x:v>1574</x:v>
      </x:c>
      <x:c r="C51" s="4" t="s">
        <x:v>1575</x:v>
      </x:c>
      <x:c r="D51" s="4" t="s">
        <x:v>1460</x:v>
      </x:c>
      <x:c r="E51" s="4" t="s">
        <x:v>1289</x:v>
      </x:c>
      <x:c r="F51" s="4" t="s">
        <x:v>1290</x:v>
      </x:c>
      <x:c r="G51" s="4" t="s">
        <x:v>1524</x:v>
      </x:c>
      <x:c r="H51" s="4" t="s">
        <x:v>1339</x:v>
      </x:c>
      <x:c r="I51" s="6" t="s">
        <x:v>1087</x:v>
      </x:c>
      <x:c r="J51" s="4" t="s">
        <x:v>1086</x:v>
      </x:c>
      <x:c r="K51" s="4" t="s">
        <x:v>1576</x:v>
      </x:c>
      <x:c r="L51" s="4" t="s">
        <x:v>1295</x:v>
      </x:c>
      <x:c r="M51" s="6" t="s">
        <x:v>1087</x:v>
      </x:c>
      <x:c r="N51" s="4" t="s">
        <x:v>1296</x:v>
      </x:c>
      <x:c r="O51" s="4" t="s">
        <x:v>1297</x:v>
      </x:c>
      <x:c r="P51" s="4" t="s">
        <x:v>1298</x:v>
      </x:c>
      <x:c r="Q51" s="4" t="s">
        <x:v>1075</x:v>
      </x:c>
    </x:row>
    <x:row r="52" customFormat="false" ht="72" hidden="false" customHeight="true" outlineLevel="0" collapsed="false">
      <x:c r="A52" s="4" t="s">
        <x:v>1577</x:v>
      </x:c>
      <x:c r="B52" s="4" t="s">
        <x:v>1578</x:v>
      </x:c>
      <x:c r="C52" s="4" t="s">
        <x:v>1579</x:v>
      </x:c>
      <x:c r="D52" s="4" t="s">
        <x:v>1580</x:v>
      </x:c>
      <x:c r="E52" s="4" t="s">
        <x:v>1289</x:v>
      </x:c>
      <x:c r="F52" s="4" t="s">
        <x:v>1290</x:v>
      </x:c>
      <x:c r="G52" s="4" t="s">
        <x:v>1524</x:v>
      </x:c>
      <x:c r="H52" s="4" t="s">
        <x:v>1339</x:v>
      </x:c>
      <x:c r="I52" s="6" t="s">
        <x:v>1098</x:v>
      </x:c>
      <x:c r="J52" s="4" t="s">
        <x:v>1581</x:v>
      </x:c>
      <x:c r="K52" s="4" t="s">
        <x:v>1582</x:v>
      </x:c>
      <x:c r="L52" s="4" t="s">
        <x:v>1295</x:v>
      </x:c>
      <x:c r="M52" s="6" t="s">
        <x:v>1098</x:v>
      </x:c>
      <x:c r="N52" s="4" t="s">
        <x:v>1296</x:v>
      </x:c>
      <x:c r="O52" s="4" t="s">
        <x:v>1297</x:v>
      </x:c>
      <x:c r="P52" s="4" t="s">
        <x:v>1298</x:v>
      </x:c>
      <x:c r="Q52" s="4" t="s">
        <x:v>1089</x:v>
      </x:c>
    </x:row>
    <x:row r="53" customFormat="false" ht="72" hidden="false" customHeight="true" outlineLevel="0" collapsed="false">
      <x:c r="A53" s="4" t="s">
        <x:v>1583</x:v>
      </x:c>
      <x:c r="B53" s="4" t="s">
        <x:v>1584</x:v>
      </x:c>
      <x:c r="C53" s="4" t="s">
        <x:v>1570</x:v>
      </x:c>
      <x:c r="D53" s="4" t="s">
        <x:v>1303</x:v>
      </x:c>
      <x:c r="E53" s="4" t="s">
        <x:v>1289</x:v>
      </x:c>
      <x:c r="F53" s="4" t="s">
        <x:v>1290</x:v>
      </x:c>
      <x:c r="G53" s="4" t="s">
        <x:v>1571</x:v>
      </x:c>
      <x:c r="H53" s="4" t="s">
        <x:v>1292</x:v>
      </x:c>
      <x:c r="I53" s="6" t="s">
        <x:v>1108</x:v>
      </x:c>
      <x:c r="J53" s="4" t="s">
        <x:v>1078</x:v>
      </x:c>
      <x:c r="K53" s="4" t="s">
        <x:v>1585</x:v>
      </x:c>
      <x:c r="L53" s="4" t="s">
        <x:v>1295</x:v>
      </x:c>
      <x:c r="M53" s="6" t="s">
        <x:v>1108</x:v>
      </x:c>
      <x:c r="N53" s="4" t="s">
        <x:v>1296</x:v>
      </x:c>
      <x:c r="O53" s="4" t="s">
        <x:v>1297</x:v>
      </x:c>
      <x:c r="P53" s="4" t="s">
        <x:v>1298</x:v>
      </x:c>
      <x:c r="Q53" s="4" t="s">
        <x:v>1586</x:v>
      </x:c>
    </x:row>
    <x:row r="54" customFormat="false" ht="72" hidden="false" customHeight="true" outlineLevel="0" collapsed="false">
      <x:c r="A54" s="4" t="s">
        <x:v>1587</x:v>
      </x:c>
      <x:c r="B54" s="4" t="s">
        <x:v>1588</x:v>
      </x:c>
      <x:c r="C54" s="4" t="s">
        <x:v>1589</x:v>
      </x:c>
      <x:c r="D54" s="4" t="s">
        <x:v>1313</x:v>
      </x:c>
      <x:c r="E54" s="4" t="s">
        <x:v>1289</x:v>
      </x:c>
      <x:c r="F54" s="4" t="s">
        <x:v>1290</x:v>
      </x:c>
      <x:c r="G54" s="4" t="s">
        <x:v>1590</x:v>
      </x:c>
      <x:c r="H54" s="4" t="s">
        <x:v>1292</x:v>
      </x:c>
      <x:c r="I54" s="6" t="s">
        <x:v>977</x:v>
      </x:c>
      <x:c r="J54" s="4" t="s">
        <x:v>1109</x:v>
      </x:c>
      <x:c r="K54" s="4" t="s">
        <x:v>1591</x:v>
      </x:c>
      <x:c r="L54" s="4" t="s">
        <x:v>1295</x:v>
      </x:c>
      <x:c r="M54" s="6" t="s">
        <x:v>977</x:v>
      </x:c>
      <x:c r="N54" s="4" t="s">
        <x:v>1296</x:v>
      </x:c>
      <x:c r="O54" s="4" t="s">
        <x:v>1297</x:v>
      </x:c>
      <x:c r="P54" s="4" t="s">
        <x:v>1298</x:v>
      </x:c>
      <x:c r="Q54" s="4" t="s">
        <x:v>1592</x:v>
      </x:c>
    </x:row>
    <x:row r="55" customFormat="false" ht="72" hidden="false" customHeight="true" outlineLevel="0" collapsed="false">
      <x:c r="A55" s="4" t="s">
        <x:v>1593</x:v>
      </x:c>
      <x:c r="B55" s="4" t="s">
        <x:v>1594</x:v>
      </x:c>
      <x:c r="C55" s="4" t="s">
        <x:v>1595</x:v>
      </x:c>
      <x:c r="D55" s="4" t="s">
        <x:v>1313</x:v>
      </x:c>
      <x:c r="E55" s="4" t="s">
        <x:v>1289</x:v>
      </x:c>
      <x:c r="F55" s="4" t="s">
        <x:v>1290</x:v>
      </x:c>
      <x:c r="G55" s="4" t="s">
        <x:v>1596</x:v>
      </x:c>
      <x:c r="H55" s="4" t="s">
        <x:v>1370</x:v>
      </x:c>
      <x:c r="I55" s="6" t="s">
        <x:v>1119</x:v>
      </x:c>
      <x:c r="J55" s="4" t="s">
        <x:v>1114</x:v>
      </x:c>
      <x:c r="K55" s="4" t="s">
        <x:v>1597</x:v>
      </x:c>
      <x:c r="L55" s="4" t="s">
        <x:v>1295</x:v>
      </x:c>
      <x:c r="M55" s="6" t="s">
        <x:v>1119</x:v>
      </x:c>
      <x:c r="N55" s="4" t="s">
        <x:v>1296</x:v>
      </x:c>
      <x:c r="O55" s="4" t="s">
        <x:v>1297</x:v>
      </x:c>
      <x:c r="P55" s="4" t="s">
        <x:v>1298</x:v>
      </x:c>
      <x:c r="Q55" s="4" t="s">
        <x:v>1111</x:v>
      </x:c>
    </x:row>
    <x:row r="56" customFormat="false" ht="72" hidden="false" customHeight="true" outlineLevel="0" collapsed="false">
      <x:c r="A56" s="4" t="s">
        <x:v>1598</x:v>
      </x:c>
      <x:c r="B56" s="4" t="s">
        <x:v>1599</x:v>
      </x:c>
      <x:c r="C56" s="4" t="s">
        <x:v>1600</x:v>
      </x:c>
      <x:c r="D56" s="4" t="s">
        <x:v>1601</x:v>
      </x:c>
      <x:c r="E56" s="4" t="s">
        <x:v>1289</x:v>
      </x:c>
      <x:c r="F56" s="4" t="s">
        <x:v>1290</x:v>
      </x:c>
      <x:c r="G56" s="4" t="s">
        <x:v>1524</x:v>
      </x:c>
      <x:c r="H56" s="4" t="s">
        <x:v>1339</x:v>
      </x:c>
      <x:c r="I56" s="6" t="s">
        <x:v>1602</x:v>
      </x:c>
      <x:c r="J56" s="4" t="s">
        <x:v>1137</x:v>
      </x:c>
      <x:c r="K56" s="4" t="s">
        <x:v>1603</x:v>
      </x:c>
      <x:c r="L56" s="4" t="s">
        <x:v>1295</x:v>
      </x:c>
      <x:c r="M56" s="6" t="s">
        <x:v>1602</x:v>
      </x:c>
      <x:c r="N56" s="4" t="s">
        <x:v>1296</x:v>
      </x:c>
      <x:c r="O56" s="4" t="s">
        <x:v>1297</x:v>
      </x:c>
      <x:c r="P56" s="4" t="s">
        <x:v>1298</x:v>
      </x:c>
      <x:c r="Q56" s="4" t="s">
        <x:v>1133</x:v>
      </x:c>
    </x:row>
    <x:row r="57" customFormat="false" ht="72" hidden="false" customHeight="true" outlineLevel="0" collapsed="false">
      <x:c r="A57" s="4" t="s">
        <x:v>1604</x:v>
      </x:c>
      <x:c r="B57" s="4" t="s">
        <x:v>1605</x:v>
      </x:c>
      <x:c r="C57" s="4" t="s">
        <x:v>1606</x:v>
      </x:c>
      <x:c r="D57" s="4" t="s">
        <x:v>1513</x:v>
      </x:c>
      <x:c r="E57" s="4" t="s">
        <x:v>1289</x:v>
      </x:c>
      <x:c r="F57" s="4" t="s">
        <x:v>1290</x:v>
      </x:c>
      <x:c r="G57" s="4" t="s">
        <x:v>1607</x:v>
      </x:c>
      <x:c r="H57" s="4" t="s">
        <x:v>1339</x:v>
      </x:c>
      <x:c r="I57" s="6" t="s">
        <x:v>1156</x:v>
      </x:c>
      <x:c r="J57" s="4" t="s">
        <x:v>1608</x:v>
      </x:c>
      <x:c r="K57" s="4" t="s">
        <x:v>1609</x:v>
      </x:c>
      <x:c r="L57" s="4" t="s">
        <x:v>1610</x:v>
      </x:c>
      <x:c r="M57" s="6" t="s">
        <x:v>1611</x:v>
      </x:c>
      <x:c r="N57" s="4" t="s">
        <x:v>1296</x:v>
      </x:c>
      <x:c r="O57" s="4" t="s">
        <x:v>1297</x:v>
      </x:c>
      <x:c r="P57" s="4" t="s">
        <x:v>1298</x:v>
      </x:c>
      <x:c r="Q57" s="4" t="s">
        <x:v>1146</x:v>
      </x:c>
    </x:row>
    <x:row r="58" customFormat="false" ht="72" hidden="false" customHeight="true" outlineLevel="0" collapsed="false">
      <x:c r="A58" s="4" t="s">
        <x:v>1612</x:v>
      </x:c>
      <x:c r="B58" s="4" t="s">
        <x:v>1613</x:v>
      </x:c>
      <x:c r="C58" s="4" t="s">
        <x:v>1429</x:v>
      </x:c>
      <x:c r="D58" s="4" t="s">
        <x:v>1614</x:v>
      </x:c>
      <x:c r="E58" s="4" t="s">
        <x:v>1615</x:v>
      </x:c>
      <x:c r="F58" s="4" t="s">
        <x:v>1290</x:v>
      </x:c>
      <x:c r="G58" s="4" t="s">
        <x:v>1432</x:v>
      </x:c>
      <x:c r="H58" s="4" t="s">
        <x:v>1292</x:v>
      </x:c>
      <x:c r="I58" s="6" t="s">
        <x:v>1131</x:v>
      </x:c>
      <x:c r="J58" s="4" t="s">
        <x:v>1616</x:v>
      </x:c>
      <x:c r="K58" s="4" t="s">
        <x:v>1617</x:v>
      </x:c>
      <x:c r="L58" s="4" t="s">
        <x:v>1618</x:v>
      </x:c>
      <x:c r="M58" s="6" t="s">
        <x:v>1619</x:v>
      </x:c>
      <x:c r="N58" s="4" t="s">
        <x:v>1296</x:v>
      </x:c>
      <x:c r="O58" s="4" t="s">
        <x:v>1297</x:v>
      </x:c>
      <x:c r="P58" s="4" t="s">
        <x:v>1298</x:v>
      </x:c>
      <x:c r="Q58" s="4" t="s">
        <x:v>1620</x:v>
      </x:c>
    </x:row>
    <x:row r="59" customFormat="false" ht="72" hidden="false" customHeight="true" outlineLevel="0" collapsed="false">
      <x:c r="A59" s="4" t="s">
        <x:v>1621</x:v>
      </x:c>
      <x:c r="B59" s="4" t="s">
        <x:v>1622</x:v>
      </x:c>
      <x:c r="C59" s="4" t="s">
        <x:v>1623</x:v>
      </x:c>
      <x:c r="D59" s="4" t="s">
        <x:v>1313</x:v>
      </x:c>
      <x:c r="E59" s="4" t="s">
        <x:v>1289</x:v>
      </x:c>
      <x:c r="F59" s="4" t="s">
        <x:v>1290</x:v>
      </x:c>
      <x:c r="G59" s="4" t="s">
        <x:v>1624</x:v>
      </x:c>
      <x:c r="H59" s="4" t="s">
        <x:v>1292</x:v>
      </x:c>
      <x:c r="I59" s="6" t="s">
        <x:v>1200</x:v>
      </x:c>
      <x:c r="J59" s="4" t="s">
        <x:v>1205</x:v>
      </x:c>
      <x:c r="K59" s="4" t="s">
        <x:v>1625</x:v>
      </x:c>
      <x:c r="L59" s="4" t="s">
        <x:v>1626</x:v>
      </x:c>
      <x:c r="M59" s="6" t="s">
        <x:v>1627</x:v>
      </x:c>
      <x:c r="N59" s="4" t="s">
        <x:v>1296</x:v>
      </x:c>
      <x:c r="O59" s="4" t="s">
        <x:v>1297</x:v>
      </x:c>
      <x:c r="P59" s="4" t="s">
        <x:v>1298</x:v>
      </x:c>
      <x:c r="Q59" s="4" t="s">
        <x:v>1628</x:v>
      </x:c>
    </x:row>
    <x:row r="60" customFormat="false" ht="72" hidden="false" customHeight="true" outlineLevel="0" collapsed="false">
      <x:c r="A60" s="4" t="s">
        <x:v>1629</x:v>
      </x:c>
      <x:c r="B60" s="4" t="s">
        <x:v>1630</x:v>
      </x:c>
      <x:c r="C60" s="4" t="s">
        <x:v>1631</x:v>
      </x:c>
      <x:c r="D60" s="4" t="s">
        <x:v>1313</x:v>
      </x:c>
      <x:c r="E60" s="4" t="s">
        <x:v>1632</x:v>
      </x:c>
      <x:c r="F60" s="4" t="s">
        <x:v>1290</x:v>
      </x:c>
      <x:c r="G60" s="4" t="s">
        <x:v>1633</x:v>
      </x:c>
      <x:c r="H60" s="4" t="s">
        <x:v>1292</x:v>
      </x:c>
      <x:c r="I60" s="6" t="s">
        <x:v>1239</x:v>
      </x:c>
      <x:c r="J60" s="4" t="s">
        <x:v>1233</x:v>
      </x:c>
      <x:c r="K60" s="4" t="s">
        <x:v>1634</x:v>
      </x:c>
      <x:c r="L60" s="4" t="s">
        <x:v>1295</x:v>
      </x:c>
      <x:c r="M60" s="6" t="s">
        <x:v>1239</x:v>
      </x:c>
      <x:c r="N60" s="4" t="s">
        <x:v>1296</x:v>
      </x:c>
      <x:c r="O60" s="4" t="s">
        <x:v>1297</x:v>
      </x:c>
      <x:c r="P60" s="4" t="s">
        <x:v>1298</x:v>
      </x:c>
      <x:c r="Q60" s="4" t="s">
        <x:v>1229</x:v>
      </x:c>
    </x:row>
    <x:row r="61" customFormat="false" ht="72" hidden="false" customHeight="true" outlineLevel="0" collapsed="false">
      <x:c r="A61" s="4" t="s">
        <x:v>1635</x:v>
      </x:c>
      <x:c r="B61" s="4" t="s">
        <x:v>1636</x:v>
      </x:c>
      <x:c r="C61" s="4" t="s">
        <x:v>1637</x:v>
      </x:c>
      <x:c r="D61" s="4" t="s">
        <x:v>1313</x:v>
      </x:c>
      <x:c r="E61" s="4" t="s">
        <x:v>1289</x:v>
      </x:c>
      <x:c r="F61" s="4" t="s">
        <x:v>1290</x:v>
      </x:c>
      <x:c r="G61" s="4" t="s">
        <x:v>1638</x:v>
      </x:c>
      <x:c r="H61" s="4" t="s">
        <x:v>1292</x:v>
      </x:c>
      <x:c r="I61" s="6" t="s">
        <x:v>1214</x:v>
      </x:c>
      <x:c r="J61" s="4" t="s">
        <x:v>1639</x:v>
      </x:c>
      <x:c r="K61" s="4" t="s">
        <x:v>1640</x:v>
      </x:c>
      <x:c r="L61" s="4" t="s">
        <x:v>1295</x:v>
      </x:c>
      <x:c r="M61" s="6" t="s">
        <x:v>1214</x:v>
      </x:c>
      <x:c r="N61" s="4" t="s">
        <x:v>1296</x:v>
      </x:c>
      <x:c r="O61" s="4" t="s">
        <x:v>1297</x:v>
      </x:c>
      <x:c r="P61" s="4" t="s">
        <x:v>1298</x:v>
      </x:c>
      <x:c r="Q61" s="4" t="s">
        <x:v>1641</x:v>
      </x:c>
    </x:row>
    <x:row r="62" customFormat="false" ht="72" hidden="false" customHeight="true" outlineLevel="0" collapsed="false">
      <x:c r="A62" s="4" t="s">
        <x:v>1642</x:v>
      </x:c>
      <x:c r="B62" s="4" t="s">
        <x:v>1643</x:v>
      </x:c>
      <x:c r="C62" s="4" t="s">
        <x:v>1302</x:v>
      </x:c>
      <x:c r="D62" s="4" t="s">
        <x:v>1313</x:v>
      </x:c>
      <x:c r="E62" s="4" t="s">
        <x:v>1289</x:v>
      </x:c>
      <x:c r="F62" s="4" t="s">
        <x:v>1290</x:v>
      </x:c>
      <x:c r="G62" s="4" t="s">
        <x:v>1644</x:v>
      </x:c>
      <x:c r="H62" s="4" t="s">
        <x:v>1292</x:v>
      </x:c>
      <x:c r="I62" s="6" t="s">
        <x:v>1226</x:v>
      </x:c>
      <x:c r="J62" s="4" t="s">
        <x:v>1645</x:v>
      </x:c>
      <x:c r="K62" s="4" t="s">
        <x:v>1646</x:v>
      </x:c>
      <x:c r="L62" s="4" t="s">
        <x:v>1295</x:v>
      </x:c>
      <x:c r="M62" s="6" t="s">
        <x:v>1226</x:v>
      </x:c>
      <x:c r="N62" s="4" t="s">
        <x:v>1296</x:v>
      </x:c>
      <x:c r="O62" s="4" t="s">
        <x:v>1297</x:v>
      </x:c>
      <x:c r="P62" s="4" t="s">
        <x:v>1298</x:v>
      </x:c>
      <x:c r="Q62" s="4" t="s">
        <x:v>1215</x:v>
      </x:c>
    </x:row>
    <x:row r="63" customFormat="false" ht="72" hidden="false" customHeight="true" outlineLevel="0" collapsed="false">
      <x:c r="A63" s="4" t="s">
        <x:v>1647</x:v>
      </x:c>
      <x:c r="B63" s="4" t="s">
        <x:v>1648</x:v>
      </x:c>
      <x:c r="C63" s="4" t="s">
        <x:v>1506</x:v>
      </x:c>
      <x:c r="D63" s="4" t="s">
        <x:v>1313</x:v>
      </x:c>
      <x:c r="E63" s="4" t="s">
        <x:v>1289</x:v>
      </x:c>
      <x:c r="F63" s="4" t="s">
        <x:v>1290</x:v>
      </x:c>
      <x:c r="G63" s="4" t="s">
        <x:v>1507</x:v>
      </x:c>
      <x:c r="H63" s="4" t="s">
        <x:v>1292</x:v>
      </x:c>
      <x:c r="I63" s="6" t="s">
        <x:v>1179</x:v>
      </x:c>
      <x:c r="J63" s="4" t="s">
        <x:v>1173</x:v>
      </x:c>
      <x:c r="K63" s="4" t="s">
        <x:v>1649</x:v>
      </x:c>
      <x:c r="L63" s="4" t="s">
        <x:v>1295</x:v>
      </x:c>
      <x:c r="M63" s="6" t="s">
        <x:v>1179</x:v>
      </x:c>
      <x:c r="N63" s="4" t="s">
        <x:v>1296</x:v>
      </x:c>
      <x:c r="O63" s="4" t="s">
        <x:v>1297</x:v>
      </x:c>
      <x:c r="P63" s="4" t="s">
        <x:v>1298</x:v>
      </x:c>
      <x:c r="Q63" s="4" t="s">
        <x:v>1169</x:v>
      </x:c>
    </x:row>
  </x:sheetData>
  <x:mergeCells count="2">
    <x:mergeCell ref="A1:Q1"/>
    <x:mergeCell ref="A2:Q2"/>
  </x:mergeCells>
  <x:hyperlinks>
    <x:hyperlink ref="I4" r:id="rIdHyperlink1"/>
    <x:hyperlink ref="M4" r:id="rIdHyperlink2"/>
    <x:hyperlink ref="I5" r:id="rIdHyperlink3"/>
    <x:hyperlink ref="M5" r:id="rIdHyperlink4"/>
    <x:hyperlink ref="I6" r:id="rIdHyperlink5"/>
    <x:hyperlink ref="M6" r:id="rIdHyperlink6"/>
    <x:hyperlink ref="I7" r:id="rIdHyperlink7"/>
    <x:hyperlink ref="M7" r:id="rIdHyperlink8"/>
    <x:hyperlink ref="I8" r:id="rIdHyperlink9"/>
    <x:hyperlink ref="M8" r:id="rIdHyperlink10"/>
    <x:hyperlink ref="I9" r:id="rIdHyperlink11"/>
    <x:hyperlink ref="M9" r:id="rIdHyperlink12"/>
    <x:hyperlink ref="I10" r:id="rIdHyperlink13"/>
    <x:hyperlink ref="M10" r:id="rIdHyperlink14"/>
    <x:hyperlink ref="I11" r:id="rIdHyperlink15"/>
    <x:hyperlink ref="M11" r:id="rIdHyperlink16"/>
    <x:hyperlink ref="I12" r:id="rIdHyperlink17"/>
    <x:hyperlink ref="M12" r:id="rIdHyperlink18"/>
    <x:hyperlink ref="I13" r:id="rIdHyperlink19"/>
    <x:hyperlink ref="M13" r:id="rIdHyperlink20"/>
    <x:hyperlink ref="I14" r:id="rIdHyperlink21"/>
    <x:hyperlink ref="M14" r:id="rIdHyperlink22"/>
    <x:hyperlink ref="I15" r:id="rIdHyperlink23"/>
    <x:hyperlink ref="M15" r:id="rIdHyperlink24"/>
    <x:hyperlink ref="I16" r:id="rIdHyperlink25"/>
    <x:hyperlink ref="M16" r:id="rIdHyperlink26"/>
    <x:hyperlink ref="I17" r:id="rIdHyperlink27"/>
    <x:hyperlink ref="M17" r:id="rIdHyperlink28"/>
    <x:hyperlink ref="I18" r:id="rIdHyperlink29"/>
    <x:hyperlink ref="M18" r:id="rIdHyperlink30"/>
    <x:hyperlink ref="I19" r:id="rIdHyperlink31"/>
    <x:hyperlink ref="M19" r:id="rIdHyperlink32"/>
    <x:hyperlink ref="I20" r:id="rIdHyperlink33"/>
    <x:hyperlink ref="M20" r:id="rIdHyperlink34"/>
    <x:hyperlink ref="I21" r:id="rIdHyperlink35"/>
    <x:hyperlink ref="M21" r:id="rIdHyperlink36"/>
    <x:hyperlink ref="I22" r:id="rIdHyperlink37"/>
    <x:hyperlink ref="M22" r:id="rIdHyperlink38"/>
    <x:hyperlink ref="I23" r:id="rIdHyperlink39"/>
    <x:hyperlink ref="M23" r:id="rIdHyperlink40"/>
    <x:hyperlink ref="I24" r:id="rIdHyperlink41"/>
    <x:hyperlink ref="M24" r:id="rIdHyperlink42"/>
    <x:hyperlink ref="I25" r:id="rIdHyperlink43"/>
    <x:hyperlink ref="M25" r:id="rIdHyperlink44"/>
    <x:hyperlink ref="I26" r:id="rIdHyperlink45"/>
    <x:hyperlink ref="M26" r:id="rIdHyperlink46"/>
    <x:hyperlink ref="I27" r:id="rIdHyperlink47"/>
    <x:hyperlink ref="M27" r:id="rIdHyperlink48"/>
    <x:hyperlink ref="I28" r:id="rIdHyperlink49"/>
    <x:hyperlink ref="M28" r:id="rIdHyperlink50"/>
    <x:hyperlink ref="I29" r:id="rIdHyperlink51"/>
    <x:hyperlink ref="M29" r:id="rIdHyperlink52"/>
    <x:hyperlink ref="I30" r:id="rIdHyperlink53"/>
    <x:hyperlink ref="M30" r:id="rIdHyperlink54"/>
    <x:hyperlink ref="I31" r:id="rIdHyperlink55"/>
    <x:hyperlink ref="M31" r:id="rIdHyperlink56"/>
    <x:hyperlink ref="I32" r:id="rIdHyperlink57"/>
    <x:hyperlink ref="M32" r:id="rIdHyperlink58"/>
    <x:hyperlink ref="I33" r:id="rIdHyperlink59"/>
    <x:hyperlink ref="M33" r:id="rIdHyperlink60"/>
    <x:hyperlink ref="I34" r:id="rIdHyperlink61"/>
    <x:hyperlink ref="M34" r:id="rIdHyperlink62"/>
    <x:hyperlink ref="I35" r:id="rIdHyperlink63"/>
    <x:hyperlink ref="M35" r:id="rIdHyperlink64"/>
    <x:hyperlink ref="I36" r:id="rIdHyperlink65"/>
    <x:hyperlink ref="M36" r:id="rIdHyperlink66"/>
    <x:hyperlink ref="I37" r:id="rIdHyperlink67"/>
    <x:hyperlink ref="M37" r:id="rIdHyperlink68"/>
    <x:hyperlink ref="I38" r:id="rIdHyperlink69"/>
    <x:hyperlink ref="M38" r:id="rIdHyperlink70"/>
    <x:hyperlink ref="I39" r:id="rIdHyperlink71"/>
    <x:hyperlink ref="M39" r:id="rIdHyperlink72"/>
    <x:hyperlink ref="I40" r:id="rIdHyperlink73"/>
    <x:hyperlink ref="M40" r:id="rIdHyperlink74"/>
    <x:hyperlink ref="I41" r:id="rIdHyperlink75"/>
    <x:hyperlink ref="M41" r:id="rIdHyperlink76"/>
    <x:hyperlink ref="I42" r:id="rIdHyperlink77"/>
    <x:hyperlink ref="M42" r:id="rIdHyperlink78"/>
    <x:hyperlink ref="I43" r:id="rIdHyperlink79"/>
    <x:hyperlink ref="M43" r:id="rIdHyperlink80"/>
    <x:hyperlink ref="I44" r:id="rIdHyperlink81"/>
    <x:hyperlink ref="M44" r:id="rIdHyperlink82"/>
    <x:hyperlink ref="I45" r:id="rIdHyperlink83"/>
    <x:hyperlink ref="M45" r:id="rIdHyperlink84"/>
    <x:hyperlink ref="I46" r:id="rIdHyperlink85"/>
    <x:hyperlink ref="M46" r:id="rIdHyperlink86"/>
    <x:hyperlink ref="I47" r:id="rIdHyperlink87"/>
    <x:hyperlink ref="M47" r:id="rIdHyperlink88"/>
    <x:hyperlink ref="I48" r:id="rIdHyperlink89"/>
    <x:hyperlink ref="M48" r:id="rIdHyperlink90"/>
    <x:hyperlink ref="I49" r:id="rIdHyperlink91"/>
    <x:hyperlink ref="M49" r:id="rIdHyperlink92"/>
    <x:hyperlink ref="I50" r:id="rIdHyperlink93"/>
    <x:hyperlink ref="M50" r:id="rIdHyperlink94"/>
    <x:hyperlink ref="I51" r:id="rIdHyperlink95"/>
    <x:hyperlink ref="M51" r:id="rIdHyperlink96"/>
    <x:hyperlink ref="I52" r:id="rIdHyperlink97"/>
    <x:hyperlink ref="M52" r:id="rIdHyperlink98"/>
    <x:hyperlink ref="I53" r:id="rIdHyperlink99"/>
    <x:hyperlink ref="M53" r:id="rIdHyperlink100"/>
    <x:hyperlink ref="I54" r:id="rIdHyperlink101"/>
    <x:hyperlink ref="M54" r:id="rIdHyperlink102"/>
    <x:hyperlink ref="I55" r:id="rIdHyperlink103"/>
    <x:hyperlink ref="M55" r:id="rIdHyperlink104"/>
    <x:hyperlink ref="I56" r:id="rIdHyperlink105"/>
    <x:hyperlink ref="M56" r:id="rIdHyperlink106"/>
    <x:hyperlink ref="I57" r:id="rIdHyperlink107"/>
    <x:hyperlink ref="M57" r:id="rIdHyperlink108"/>
    <x:hyperlink ref="I58" r:id="rIdHyperlink109"/>
    <x:hyperlink ref="M58" r:id="rIdHyperlink110"/>
    <x:hyperlink ref="I59" r:id="rIdHyperlink111"/>
    <x:hyperlink ref="M59" r:id="rIdHyperlink112"/>
    <x:hyperlink ref="I60" r:id="rIdHyperlink113"/>
    <x:hyperlink ref="M60" r:id="rIdHyperlink114"/>
    <x:hyperlink ref="I61" r:id="rIdHyperlink115"/>
    <x:hyperlink ref="M61" r:id="rIdHyperlink116"/>
    <x:hyperlink ref="I62" r:id="rIdHyperlink117"/>
    <x:hyperlink ref="M62" r:id="rIdHyperlink118"/>
    <x:hyperlink ref="I63" r:id="rIdHyperlink119"/>
    <x:hyperlink ref="M63" r:id="rIdHyperlink120"/>
  </x:hyperlinks>
  <x:printOptions headings="false" gridLines="false" gridLinesSet="true" horizontalCentered="false" verticalCentered="false"/>
  <x:pageMargins left="0.7" right="0.7" top="0.75" bottom="0.75"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tableParts>
    <x:tablePart r:id="rId121"/>
  </x:tableParts>
</x:worksheet>
</file>

<file path=xl/worksheets/sheet4.xml><?xml version="1.0" encoding="utf-8"?>
<x:worksheet xmlns:x="http://schemas.openxmlformats.org/spreadsheetml/2006/main">
  <x:sheetPr filterMode="false">
    <x:pageSetUpPr fitToPage="false"/>
  </x:sheetPr>
  <x:dimension ref="A1:I18"/>
  <x:sheetViews>
    <x:sheetView showFormulas="false" showGridLines="false" showRowColHeaders="true" showZeros="true" rightToLeft="false" tabSelected="false" showOutlineSymbols="true" defaultGridColor="true" view="normal" topLeftCell="A1" colorId="64" zoomScale="100" zoomScaleNormal="100" zoomScalePageLayoutView="100" workbookViewId="0">
      <x:pane topLeftCell="A4" activePane="bottomLeft" state="frozen" ySplit="3"/>
      <x:selection pane="topLeft" activeCell="A1" activeCellId="0" sqref="A1"/>
      <x:selection pane="bottomLeft" activeCell="A1" activeCellId="0" sqref="A1"/>
    </x:sheetView>
  </x:sheetViews>
  <x:sheetFormatPr defaultColWidth="8.6796875" defaultRowHeight="15" customHeight="false" zeroHeight="false" outlineLevelRow="0" outlineLevelCol="0"/>
  <x:cols>
    <x:col collapsed="false" customWidth="true" hidden="false" outlineLevel="0" max="1" min="1" style="0" width="27"/>
    <x:col collapsed="false" customWidth="true" hidden="false" outlineLevel="0" max="2" min="2" style="0" width="115"/>
    <x:col collapsed="false" customWidth="true" hidden="false" outlineLevel="0" max="3" min="3" style="0" width="3"/>
    <x:col collapsed="false" customWidth="true" hidden="false" outlineLevel="0" max="4" min="4" style="0" width="17"/>
    <x:col collapsed="false" customWidth="true" hidden="false" outlineLevel="0" max="5" min="5" style="0" width="46"/>
    <x:col collapsed="false" customWidth="true" hidden="false" outlineLevel="0" max="9" min="6" style="0" width="20"/>
  </x:cols>
  <x:sheetData>
    <x:row r="1" customFormat="false" ht="30" hidden="false" customHeight="true" outlineLevel="0" collapsed="false">
      <x:c r="A1" s="1" t="s">
        <x:v>1650</x:v>
      </x:c>
      <x:c r="B1" s="1"/>
      <x:c r="C1" s="1"/>
      <x:c r="D1" s="1"/>
      <x:c r="E1" s="1"/>
      <x:c r="F1" s="1"/>
      <x:c r="G1" s="1"/>
      <x:c r="H1" s="1"/>
      <x:c r="I1" s="1"/>
    </x:row>
    <x:row r="2" customFormat="false" ht="38" hidden="false" customHeight="true" outlineLevel="0" collapsed="false">
      <x:c r="A2" s="2" t="s">
        <x:v>1651</x:v>
      </x:c>
      <x:c r="B2" s="2"/>
      <x:c r="C2" s="2"/>
      <x:c r="D2" s="2"/>
      <x:c r="E2" s="2"/>
      <x:c r="F2" s="2"/>
      <x:c r="G2" s="2"/>
      <x:c r="H2" s="2"/>
      <x:c r="I2" s="2"/>
    </x:row>
    <x:row r="4" customFormat="false" ht="58" hidden="false" customHeight="true" outlineLevel="0" collapsed="false">
      <x:c r="A4" s="15" t="s">
        <x:v>1652</x:v>
      </x:c>
      <x:c r="B4" s="13" t="s">
        <x:v>1653</x:v>
      </x:c>
      <x:c r="D4" s="16" t="s">
        <x:v>2</x:v>
      </x:c>
      <x:c r="E4" s="16" t="s">
        <x:v>5</x:v>
      </x:c>
      <x:c r="F4" s="16" t="s">
        <x:v>6</x:v>
      </x:c>
      <x:c r="G4" s="16" t="s">
        <x:v>8</x:v>
      </x:c>
      <x:c r="H4" s="16" t="s">
        <x:v>9</x:v>
      </x:c>
      <x:c r="I4" s="16" t="s">
        <x:v>11</x:v>
      </x:c>
    </x:row>
    <x:row r="5" customFormat="false" ht="58" hidden="false" customHeight="true" outlineLevel="0" collapsed="false">
      <x:c r="A5" s="15" t="s">
        <x:v>1654</x:v>
      </x:c>
      <x:c r="B5" s="13" t="s">
        <x:v>1655</x:v>
      </x:c>
      <x:c r="D5" s="4" t="s">
        <x:v>28</x:v>
      </x:c>
      <x:c r="E5" s="4" t="s">
        <x:v>31</x:v>
      </x:c>
      <x:c r="F5" s="4" t="s">
        <x:v>32</x:v>
      </x:c>
      <x:c r="G5" s="4" t="s">
        <x:v>34</x:v>
      </x:c>
      <x:c r="H5" s="4" t="s">
        <x:v>1656</x:v>
      </x:c>
      <x:c r="I5" s="4" t="s">
        <x:v>37</x:v>
      </x:c>
    </x:row>
    <x:row r="6" customFormat="false" ht="58" hidden="false" customHeight="true" outlineLevel="0" collapsed="false">
      <x:c r="A6" s="15" t="s">
        <x:v>1657</x:v>
      </x:c>
      <x:c r="B6" s="13" t="s">
        <x:v>1658</x:v>
      </x:c>
      <x:c r="D6" s="4" t="s">
        <x:v>1258</x:v>
      </x:c>
      <x:c r="E6" s="4" t="s">
        <x:v>93</x:v>
      </x:c>
      <x:c r="F6" s="4" t="s">
        <x:v>233</x:v>
      </x:c>
      <x:c r="G6" s="4" t="s">
        <x:v>234</x:v>
      </x:c>
      <x:c r="H6" s="4" t="s">
        <x:v>35</x:v>
      </x:c>
      <x:c r="I6" s="4" t="s">
        <x:v>338</x:v>
      </x:c>
    </x:row>
    <x:row r="7" customFormat="false" ht="58" hidden="false" customHeight="true" outlineLevel="0" collapsed="false">
      <x:c r="A7" s="15" t="s">
        <x:v>1659</x:v>
      </x:c>
      <x:c r="B7" s="13" t="s">
        <x:v>1660</x:v>
      </x:c>
      <x:c r="D7" s="4" t="s">
        <x:v>1255</x:v>
      </x:c>
      <x:c r="E7" s="4" t="s">
        <x:v>760</x:v>
      </x:c>
      <x:c r="F7" s="4" t="s">
        <x:v>110</x:v>
      </x:c>
      <x:c r="G7" s="4" t="s">
        <x:v>111</x:v>
      </x:c>
      <x:c r="H7" s="4" t="s">
        <x:v>95</x:v>
      </x:c>
      <x:c r="I7" s="4" t="s">
        <x:v>113</x:v>
      </x:c>
    </x:row>
    <x:row r="8" customFormat="false" ht="58" hidden="false" customHeight="true" outlineLevel="0" collapsed="false">
      <x:c r="A8" s="15" t="s">
        <x:v>1661</x:v>
      </x:c>
      <x:c r="B8" s="13" t="s">
        <x:v>1662</x:v>
      </x:c>
      <x:c r="D8" s="4" t="s">
        <x:v>1257</x:v>
      </x:c>
      <x:c r="E8" s="4" t="s">
        <x:v>605</x:v>
      </x:c>
      <x:c r="F8" s="4"/>
      <x:c r="G8" s="4"/>
      <x:c r="H8" s="4" t="s">
        <x:v>887</x:v>
      </x:c>
      <x:c r="I8" s="4"/>
    </x:row>
    <x:row r="9" customFormat="false" ht="58" hidden="false" customHeight="true" outlineLevel="0" collapsed="false">
      <x:c r="A9" s="15" t="s">
        <x:v>1663</x:v>
      </x:c>
      <x:c r="B9" s="13" t="s">
        <x:v>1664</x:v>
      </x:c>
      <x:c r="D9" s="4"/>
      <x:c r="E9" s="4" t="s">
        <x:v>830</x:v>
      </x:c>
      <x:c r="F9" s="4"/>
      <x:c r="G9" s="4"/>
      <x:c r="H9" s="4"/>
      <x:c r="I9" s="4"/>
    </x:row>
    <x:row r="10" customFormat="false" ht="58" hidden="false" customHeight="true" outlineLevel="0" collapsed="false">
      <x:c r="A10" s="15" t="s">
        <x:v>1665</x:v>
      </x:c>
      <x:c r="B10" s="13" t="s">
        <x:v>1666</x:v>
      </x:c>
    </x:row>
    <x:row r="11" customFormat="false" ht="58" hidden="false" customHeight="true" outlineLevel="0" collapsed="false">
      <x:c r="A11" s="15" t="s">
        <x:v>1667</x:v>
      </x:c>
      <x:c r="B11" s="13" t="s">
        <x:v>1668</x:v>
      </x:c>
    </x:row>
    <x:row r="12" customFormat="false" ht="58" hidden="false" customHeight="true" outlineLevel="0" collapsed="false">
      <x:c r="A12" s="15" t="s">
        <x:v>1669</x:v>
      </x:c>
      <x:c r="B12" s="13" t="s">
        <x:v>1670</x:v>
      </x:c>
    </x:row>
    <x:row r="13" customFormat="false" ht="58" hidden="false" customHeight="true" outlineLevel="0" collapsed="false">
      <x:c r="A13" s="15" t="s">
        <x:v>1671</x:v>
      </x:c>
      <x:c r="B13" s="13" t="s">
        <x:v>1672</x:v>
      </x:c>
    </x:row>
    <x:row r="14" customFormat="false" ht="58" hidden="false" customHeight="true" outlineLevel="0" collapsed="false">
      <x:c r="A14" s="15" t="s">
        <x:v>1673</x:v>
      </x:c>
      <x:c r="B14" s="13" t="s">
        <x:v>1674</x:v>
      </x:c>
    </x:row>
    <x:row r="15" customFormat="false" ht="58" hidden="false" customHeight="true" outlineLevel="0" collapsed="false">
      <x:c r="A15" s="15" t="s">
        <x:v>1675</x:v>
      </x:c>
      <x:c r="B15" s="13" t="s">
        <x:v>1676</x:v>
      </x:c>
    </x:row>
    <x:row r="16" customFormat="false" ht="58" hidden="false" customHeight="true" outlineLevel="0" collapsed="false">
      <x:c r="A16" s="15" t="s">
        <x:v>1677</x:v>
      </x:c>
      <x:c r="B16" s="13" t="s">
        <x:v>1678</x:v>
      </x:c>
    </x:row>
    <x:row r="17" customFormat="false" ht="58" hidden="false" customHeight="true" outlineLevel="0" collapsed="false">
      <x:c r="A17" s="15" t="s">
        <x:v>1679</x:v>
      </x:c>
      <x:c r="B17" s="13" t="s">
        <x:v>1680</x:v>
      </x:c>
    </x:row>
    <x:row r="18" customFormat="false" ht="58" hidden="false" customHeight="true" outlineLevel="0" collapsed="false">
      <x:c r="A18" s="15" t="s">
        <x:v>1681</x:v>
      </x:c>
      <x:c r="B18" s="13" t="s">
        <x:v>1682</x:v>
      </x:c>
    </x:row>
  </x:sheetData>
  <x:mergeCells count="2">
    <x:mergeCell ref="A1:I1"/>
    <x:mergeCell ref="A2:I2"/>
  </x:mergeCells>
  <x:printOptions headings="false" gridLines="false" gridLinesSet="true" horizontalCentered="false" verticalCentered="false"/>
  <x:pageMargins left="0.7" right="0.7" top="0.75" bottom="0.75" header="0.511811023622047" footer="0.511811023622047"/>
  <x:pageSetup paperSize="9" scale="100" fitToWidth="1" fitToHeight="1" pageOrder="downThenOver" orientation="portrait" blackAndWhite="false" draft="false" cellComments="none" horizontalDpi="300" verticalDpi="300" copies="1"/>
  <x:headerFooter differentFirst="false" differentOddEven="false">
    <x:oddHeader/>
    <x:oddFooter/>
  </x:headerFooter>
</x: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